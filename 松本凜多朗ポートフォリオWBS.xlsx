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230219\Desktop\portforio\"/>
    </mc:Choice>
  </mc:AlternateContent>
  <xr:revisionPtr revIDLastSave="0" documentId="13_ncr:1_{8DB1C1A1-A039-48D0-9F07-85055A3DD6D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BS一覧" sheetId="1" r:id="rId1"/>
    <sheet name="ガントチャート" sheetId="2" r:id="rId2"/>
    <sheet name="作業時間サマリー" sheetId="3" r:id="rId3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F3" i="3" s="1"/>
  <c r="C15" i="3"/>
  <c r="C16" i="3" s="1"/>
  <c r="C17" i="3" s="1"/>
  <c r="C18" i="3" s="1"/>
  <c r="C19" i="3" s="1"/>
  <c r="C20" i="3" s="1"/>
  <c r="C21" i="3" s="1"/>
  <c r="C22" i="3" s="1"/>
  <c r="C23" i="3" s="1"/>
  <c r="C24" i="3" s="1"/>
  <c r="B11" i="3"/>
  <c r="C6" i="3" s="1"/>
  <c r="C5" i="3" l="1"/>
  <c r="C7" i="3"/>
  <c r="C8" i="3"/>
  <c r="F2" i="3"/>
  <c r="C9" i="3"/>
  <c r="C3" i="3"/>
  <c r="C10" i="3"/>
  <c r="C4" i="3"/>
</calcChain>
</file>

<file path=xl/sharedStrings.xml><?xml version="1.0" encoding="utf-8"?>
<sst xmlns="http://schemas.openxmlformats.org/spreadsheetml/2006/main" count="639" uniqueCount="218">
  <si>
    <t>No</t>
  </si>
  <si>
    <t>フェーズ</t>
  </si>
  <si>
    <t>タスク名</t>
  </si>
  <si>
    <t>詳細作業内容</t>
  </si>
  <si>
    <t>担当</t>
  </si>
  <si>
    <t>開始日</t>
  </si>
  <si>
    <t>終了日</t>
  </si>
  <si>
    <t>所要時間（時間）</t>
  </si>
  <si>
    <t>ステータス</t>
  </si>
  <si>
    <t>優先度</t>
  </si>
  <si>
    <t>メモ・備考</t>
  </si>
  <si>
    <t>1-1</t>
  </si>
  <si>
    <t>📋 企画・設計</t>
  </si>
  <si>
    <t>ポートフォリオの目的・ターゲット定義</t>
  </si>
  <si>
    <t>誰に見せるか・就職活動用か明確化</t>
  </si>
  <si>
    <t>自分</t>
  </si>
  <si>
    <t>2026/3/2</t>
  </si>
  <si>
    <t>未着手</t>
  </si>
  <si>
    <t>高</t>
  </si>
  <si>
    <t>1-2</t>
  </si>
  <si>
    <t>掲載コンテンツの洗い出し</t>
  </si>
  <si>
    <t>プロフィール・スキル・作品・連絡先などリストアップ</t>
  </si>
  <si>
    <t>1-3</t>
  </si>
  <si>
    <t>参考サイト収集・デザインリサーチ</t>
  </si>
  <si>
    <t>気に入ったポートフォリオサイト5件以上ブックマーク</t>
  </si>
  <si>
    <t>中</t>
  </si>
  <si>
    <t>1-4</t>
  </si>
  <si>
    <t>ワイヤーフレーム作成（手書きOK）</t>
  </si>
  <si>
    <t>全ページのレイアウト・セクション配置を紙orFigmaで設計</t>
  </si>
  <si>
    <t>2026/3/3</t>
  </si>
  <si>
    <t>1-5</t>
  </si>
  <si>
    <t>カラーパレット・フォント決定</t>
  </si>
  <si>
    <t>メインカラー・サブカラー・フォントファミリーを選定</t>
  </si>
  <si>
    <t>1-6</t>
  </si>
  <si>
    <t>ページ構成・セクション確定</t>
  </si>
  <si>
    <t>Hero/About/Skills/Works/Contactの構成を最終決定</t>
  </si>
  <si>
    <t>2-1</t>
  </si>
  <si>
    <t>⚙️ 環境構築</t>
  </si>
  <si>
    <t>フォルダ構成作成</t>
  </si>
  <si>
    <t>index.html, css/, js/, images/ のディレクトリ構造を作成</t>
  </si>
  <si>
    <t>2-2</t>
  </si>
  <si>
    <t>Gitリポジトリ作成</t>
  </si>
  <si>
    <t>GitHubにリポジトリ作成・初回コミット</t>
  </si>
  <si>
    <t>2-3</t>
  </si>
  <si>
    <t>VS Code設定・拡張機能導入</t>
  </si>
  <si>
    <t>Live Server・Prettier・HTML CSS Supportを導入</t>
  </si>
  <si>
    <t>2-4</t>
  </si>
  <si>
    <t>CSSリセット・基本設定</t>
  </si>
  <si>
    <t>reset.css or normalize.css導入・CSS変数（カラー・フォント）設定</t>
  </si>
  <si>
    <t>3-1</t>
  </si>
  <si>
    <t>🏗️ HTML構造作成</t>
  </si>
  <si>
    <t>HTMLベース作成（head設定）</t>
  </si>
  <si>
    <t>meta charset・viewport・OGP・faviconなど設定</t>
  </si>
  <si>
    <t>2026/3/4</t>
  </si>
  <si>
    <t>3-2</t>
  </si>
  <si>
    <t>ナビゲーションバー HTML</t>
  </si>
  <si>
    <t>header・nav・ロゴ・メニューリンクのマークアップ</t>
  </si>
  <si>
    <t>3-3</t>
  </si>
  <si>
    <t>ヒーローセクション HTML</t>
  </si>
  <si>
    <t>キャッチコピー・名前・CTAボタンのマークアップ</t>
  </si>
  <si>
    <t>3-4</t>
  </si>
  <si>
    <t>Aboutセクション HTML</t>
  </si>
  <si>
    <t>自己紹介文・顔写真・経歴タイムラインのマークアップ</t>
  </si>
  <si>
    <t>3-5</t>
  </si>
  <si>
    <t>Skillsセクション HTML</t>
  </si>
  <si>
    <t>技術スタック・スキルバーのマークアップ</t>
  </si>
  <si>
    <t>3-6</t>
  </si>
  <si>
    <t>Worksセクション HTML</t>
  </si>
  <si>
    <t>作品カード・フィルタータブのマークアップ</t>
  </si>
  <si>
    <t>2026/3/5</t>
  </si>
  <si>
    <t>3-7</t>
  </si>
  <si>
    <t>資格・学歴セクション HTML</t>
  </si>
  <si>
    <t>タイムライン形式のマークアップ</t>
  </si>
  <si>
    <t>3-8</t>
  </si>
  <si>
    <t>Contactセクション HTML</t>
  </si>
  <si>
    <t>フォーム・SNSリンク・メールリンクのマークアップ</t>
  </si>
  <si>
    <t>3-9</t>
  </si>
  <si>
    <t>フッター HTML</t>
  </si>
  <si>
    <t>コピーライト・GitHubリンクのマークアップ</t>
  </si>
  <si>
    <t>低</t>
  </si>
  <si>
    <t>4-1</t>
  </si>
  <si>
    <t>🎨 CSSスタイリング</t>
  </si>
  <si>
    <t>グローバルスタイル・共通CSS</t>
  </si>
  <si>
    <t>body・Typography・色・余白の共通設定</t>
  </si>
  <si>
    <t>4-2</t>
  </si>
  <si>
    <t>ナビゲーションスタイル</t>
  </si>
  <si>
    <t>固定ヘッダー・スクロール時の背景変化・スタイリング</t>
  </si>
  <si>
    <t>2026/3/6</t>
  </si>
  <si>
    <t>4-3</t>
  </si>
  <si>
    <t>ヒーローセクション CSS</t>
  </si>
  <si>
    <t>フルスクリーン・グラデーション・テキストアニメーション</t>
  </si>
  <si>
    <t>4-4</t>
  </si>
  <si>
    <t>Aboutセクション CSS</t>
  </si>
  <si>
    <t>Flexbox/Gridレイアウト・写真の円形クリップ</t>
  </si>
  <si>
    <t>4-5</t>
  </si>
  <si>
    <t>Skillsセクション CSS</t>
  </si>
  <si>
    <t>スキルバーのアニメーション・カードデザイン</t>
  </si>
  <si>
    <t>4-6</t>
  </si>
  <si>
    <t>Worksセクション CSS</t>
  </si>
  <si>
    <t>カードレイアウト・ホバーエフェクト・モーダル</t>
  </si>
  <si>
    <t>2026/3/7</t>
  </si>
  <si>
    <t>4-7</t>
  </si>
  <si>
    <t>資格・学歴 CSS</t>
  </si>
  <si>
    <t>タイムラインデザイン</t>
  </si>
  <si>
    <t>4-8</t>
  </si>
  <si>
    <t>Contactセクション CSS</t>
  </si>
  <si>
    <t>フォームデザイン・ボタンスタイル</t>
  </si>
  <si>
    <t>4-9</t>
  </si>
  <si>
    <t>レスポンシブデザイン（SP対応）</t>
  </si>
  <si>
    <t>メディアクエリ・スマホ表示の調整（全セクション）</t>
  </si>
  <si>
    <t>4-10</t>
  </si>
  <si>
    <t>アニメーション・トランジション</t>
  </si>
  <si>
    <t>フェードイン・ホバーエフェクト全体調整</t>
  </si>
  <si>
    <t>5-1</t>
  </si>
  <si>
    <t>⚡ JavaScript実装</t>
  </si>
  <si>
    <t>ハンバーガーメニュー実装</t>
  </si>
  <si>
    <t>SP時のナビゲーション開閉機能</t>
  </si>
  <si>
    <t>2026/3/8</t>
  </si>
  <si>
    <t>5-2</t>
  </si>
  <si>
    <t>スムーススクロール実装</t>
  </si>
  <si>
    <t>ナビリンクのアンカースクロール</t>
  </si>
  <si>
    <t>5-3</t>
  </si>
  <si>
    <t>スクロールアニメーション</t>
  </si>
  <si>
    <t>Intersection Observer APIでスクロール時フェードイン</t>
  </si>
  <si>
    <t>5-4</t>
  </si>
  <si>
    <t>スキルバーアニメーション</t>
  </si>
  <si>
    <t>スクロール時にスキルバーが伸びるアニメーション</t>
  </si>
  <si>
    <t>5-5</t>
  </si>
  <si>
    <t>作品フィルタリング機能</t>
  </si>
  <si>
    <t>カテゴリ別に作品を絞り込むフィルター</t>
  </si>
  <si>
    <t>2026/3/9</t>
  </si>
  <si>
    <t>5-6</t>
  </si>
  <si>
    <t>モーダル表示（作品詳細）</t>
  </si>
  <si>
    <t>作品カードクリックで詳細モーダル表示</t>
  </si>
  <si>
    <t>5-7</t>
  </si>
  <si>
    <t>スクロール進捗バー</t>
  </si>
  <si>
    <t>ページ上部にスクロール進捗を表示するバー</t>
  </si>
  <si>
    <t>5-8</t>
  </si>
  <si>
    <t>アクティブナビ自動更新</t>
  </si>
  <si>
    <t>スクロール位置に応じてナビのアクティブ状態を変更</t>
  </si>
  <si>
    <t>6-1</t>
  </si>
  <si>
    <t>📝 コンテンツ投入</t>
  </si>
  <si>
    <t>プロフィール文章作成・入力</t>
  </si>
  <si>
    <t>自己紹介文・キャッチコピーを執筆して入力</t>
  </si>
  <si>
    <t>6-2</t>
  </si>
  <si>
    <t>スキル情報入力</t>
  </si>
  <si>
    <t>言語・ツール・スキルレベルを入力</t>
  </si>
  <si>
    <t>6-3</t>
  </si>
  <si>
    <t>作品情報入力</t>
  </si>
  <si>
    <t>各プロジェクトの概要・技術・GitHubリンクを入力</t>
  </si>
  <si>
    <t>2026/3/10</t>
  </si>
  <si>
    <t>6-4</t>
  </si>
  <si>
    <t>スクリーンショット・画像準備</t>
  </si>
  <si>
    <t>作品のスクショ撮影・最適化（WebP変換推奨）</t>
  </si>
  <si>
    <t>6-5</t>
  </si>
  <si>
    <t>資格・学歴情報入力</t>
  </si>
  <si>
    <t>取得資格・学歴タイムラインを入力</t>
  </si>
  <si>
    <t>6-6</t>
  </si>
  <si>
    <t>連絡先・SNSリンク設定</t>
  </si>
  <si>
    <t>GitHub・メール・LinkedInリンクを設定</t>
  </si>
  <si>
    <t>7-1</t>
  </si>
  <si>
    <t>🧪 テスト・修正</t>
  </si>
  <si>
    <t>PC表示確認・デバッグ</t>
  </si>
  <si>
    <t>Chrome DevToolsでPC表示の崩れ確認・修正</t>
  </si>
  <si>
    <t>7-2</t>
  </si>
  <si>
    <t>スマホ・タブレット表示確認</t>
  </si>
  <si>
    <t>DevToolsのレスポンシブモードで確認・修正</t>
  </si>
  <si>
    <t>7-3</t>
  </si>
  <si>
    <t>クロスブラウザ確認</t>
  </si>
  <si>
    <t>Chrome・Edge・Firefox・Safari（可能なら）で確認</t>
  </si>
  <si>
    <t>7-4</t>
  </si>
  <si>
    <t>リンク・ボタン動作確認</t>
  </si>
  <si>
    <t>全リンク・ボタン・フォームの動作テスト</t>
  </si>
  <si>
    <t>7-5</t>
  </si>
  <si>
    <t>表示速度確認</t>
  </si>
  <si>
    <t>PageSpeed Insightsで速度計測・画像圧縮等の対応</t>
  </si>
  <si>
    <t>7-6</t>
  </si>
  <si>
    <t>誤字・脱字チェック</t>
  </si>
  <si>
    <t>全テキストの見直し</t>
  </si>
  <si>
    <t>8-1</t>
  </si>
  <si>
    <t>🚀 公開</t>
  </si>
  <si>
    <t>GitHub Pagesへデプロイ</t>
  </si>
  <si>
    <t>リポジトリのSettings→PagesからGitHub Pages公開設定</t>
  </si>
  <si>
    <t>2026/3/11</t>
  </si>
  <si>
    <t>8-2</t>
  </si>
  <si>
    <t>公開URLの動作確認</t>
  </si>
  <si>
    <t>本番URLで全機能・全デバイス確認</t>
  </si>
  <si>
    <t>8-3</t>
  </si>
  <si>
    <t>GitHubリポジトリ整備</t>
  </si>
  <si>
    <t>README.md作成・ポートフォリオURLをプロフィールに追加</t>
  </si>
  <si>
    <t>8-4</t>
  </si>
  <si>
    <t>最終レビュー・完成確認</t>
  </si>
  <si>
    <t>全体の完成度確認・就職活動での提出準備</t>
  </si>
  <si>
    <t>タスク</t>
  </si>
  <si>
    <t>3/2（月）</t>
  </si>
  <si>
    <t>3/3（火）</t>
  </si>
  <si>
    <t>3/4（水）</t>
  </si>
  <si>
    <t>3/5（木）</t>
  </si>
  <si>
    <t>3/6（金）</t>
  </si>
  <si>
    <t>3/7（土）</t>
  </si>
  <si>
    <t>3/8（日）</t>
  </si>
  <si>
    <t>3/9（月）</t>
  </si>
  <si>
    <t>3/10（火）</t>
  </si>
  <si>
    <t>3/11（水）</t>
  </si>
  <si>
    <t>📊 フェーズ別作業時間</t>
  </si>
  <si>
    <t>📈 プロジェクト概要</t>
  </si>
  <si>
    <t>作業時間（時間）</t>
  </si>
  <si>
    <t>割合（%）</t>
  </si>
  <si>
    <t>総作業時間</t>
  </si>
  <si>
    <t>平均作業時間/日</t>
  </si>
  <si>
    <t>プロジェクト期間</t>
  </si>
  <si>
    <t>10日間</t>
  </si>
  <si>
    <t>合計</t>
  </si>
  <si>
    <t>📅 日別作業時間</t>
  </si>
  <si>
    <t>日付</t>
  </si>
  <si>
    <t>累積時間</t>
  </si>
  <si>
    <t>完了</t>
    <rPh sb="0" eb="2">
      <t>カンリョウ</t>
    </rPh>
    <phoneticPr fontId="11"/>
  </si>
  <si>
    <t>未着手</t>
    <rPh sb="0" eb="3">
      <t>ミチャクシュ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</si>
</sst>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yy"/>
    <numFmt numFmtId="177" formatCode="#,##0.0"/>
  </numFmts>
  <fonts count="13">
    <font>
      <sz val="11"/>
      <color theme="1"/>
      <name val="游ゴシック"/>
      <scheme val="minor"/>
    </font>
    <font>
      <b/>
      <sz val="11"/>
      <color rgb="FFFFFFFF"/>
      <name val="Aptos Narrow"/>
    </font>
    <font>
      <sz val="10"/>
      <name val="Aptos Narrow"/>
    </font>
    <font>
      <sz val="10"/>
      <color rgb="FF6C757D"/>
      <name val="Aptos Narrow"/>
    </font>
    <font>
      <b/>
      <sz val="10"/>
      <color rgb="FFCC0000"/>
      <name val="Aptos Narrow"/>
    </font>
    <font>
      <sz val="10"/>
      <color rgb="FFFF8C00"/>
      <name val="Aptos Narrow"/>
    </font>
    <font>
      <sz val="10"/>
      <color rgb="FF228B22"/>
      <name val="Aptos Narrow"/>
    </font>
    <font>
      <sz val="11"/>
      <name val="游ゴシック"/>
      <family val="3"/>
      <charset val="128"/>
      <scheme val="minor"/>
    </font>
    <font>
      <b/>
      <sz val="10"/>
      <color rgb="FFFFFFFF"/>
      <name val="Aptos Narrow"/>
    </font>
    <font>
      <b/>
      <sz val="14"/>
      <name val="Aptos Narrow"/>
    </font>
    <font>
      <b/>
      <sz val="10"/>
      <name val="Aptos Narrow"/>
    </font>
    <font>
      <sz val="6"/>
      <name val="游ゴシック"/>
      <family val="3"/>
      <charset val="128"/>
      <scheme val="minor"/>
    </font>
    <font>
      <sz val="10"/>
      <color rgb="FF6C757D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6EAF8"/>
      </patternFill>
    </fill>
    <fill>
      <patternFill patternType="solid">
        <fgColor rgb="FFF8F9FA"/>
      </patternFill>
    </fill>
    <fill>
      <patternFill patternType="solid">
        <fgColor rgb="FFFFE6E6"/>
      </patternFill>
    </fill>
    <fill>
      <patternFill patternType="solid">
        <fgColor rgb="FFFFF4E6"/>
      </patternFill>
    </fill>
    <fill>
      <patternFill patternType="solid">
        <fgColor rgb="FFD5F4E6"/>
      </patternFill>
    </fill>
    <fill>
      <patternFill patternType="solid">
        <fgColor rgb="FFFFF9C4"/>
      </patternFill>
    </fill>
    <fill>
      <patternFill patternType="solid">
        <fgColor rgb="FFE6F7E6"/>
      </patternFill>
    </fill>
    <fill>
      <patternFill patternType="solid">
        <fgColor rgb="FFFFECB3"/>
      </patternFill>
    </fill>
    <fill>
      <patternFill patternType="solid">
        <fgColor rgb="FFE1BEE7"/>
      </patternFill>
    </fill>
    <fill>
      <patternFill patternType="solid">
        <fgColor rgb="FFF8BBD0"/>
      </patternFill>
    </fill>
    <fill>
      <patternFill patternType="solid">
        <fgColor rgb="FFFFCDD2"/>
      </patternFill>
    </fill>
    <fill>
      <patternFill patternType="solid">
        <fgColor rgb="FFFFE082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1">
      <alignment vertical="top"/>
    </xf>
  </cellStyleXfs>
  <cellXfs count="41">
    <xf numFmtId="0" fontId="0" fillId="0" borderId="1" xfId="0">
      <alignment vertical="top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left" vertical="center"/>
    </xf>
    <xf numFmtId="0" fontId="2" fillId="14" borderId="2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7" borderId="0" xfId="0" applyFont="1" applyFill="1" applyBorder="1" applyAlignment="1">
      <alignment horizontal="left" vertical="top"/>
    </xf>
    <xf numFmtId="0" fontId="7" fillId="8" borderId="0" xfId="0" applyFont="1" applyFill="1" applyBorder="1" applyAlignment="1">
      <alignment horizontal="left" vertical="top"/>
    </xf>
    <xf numFmtId="0" fontId="7" fillId="10" borderId="0" xfId="0" applyFont="1" applyFill="1" applyBorder="1" applyAlignment="1">
      <alignment horizontal="left" vertical="top"/>
    </xf>
    <xf numFmtId="0" fontId="7" fillId="11" borderId="0" xfId="0" applyFont="1" applyFill="1" applyBorder="1" applyAlignment="1">
      <alignment horizontal="left" vertical="top"/>
    </xf>
    <xf numFmtId="0" fontId="7" fillId="12" borderId="0" xfId="0" applyFont="1" applyFill="1" applyBorder="1" applyAlignment="1">
      <alignment horizontal="left" vertical="top"/>
    </xf>
    <xf numFmtId="0" fontId="7" fillId="13" borderId="0" xfId="0" applyFont="1" applyFill="1" applyBorder="1" applyAlignment="1">
      <alignment horizontal="left" vertical="top"/>
    </xf>
    <xf numFmtId="0" fontId="7" fillId="14" borderId="0" xfId="0" applyFont="1" applyFill="1" applyBorder="1" applyAlignment="1">
      <alignment horizontal="left" vertical="top"/>
    </xf>
    <xf numFmtId="0" fontId="8" fillId="15" borderId="3" xfId="0" applyFont="1" applyFill="1" applyBorder="1" applyAlignment="1">
      <alignment horizontal="center" vertical="center"/>
    </xf>
    <xf numFmtId="0" fontId="7" fillId="16" borderId="3" xfId="0" applyFont="1" applyFill="1" applyBorder="1">
      <alignment vertical="top"/>
    </xf>
    <xf numFmtId="0" fontId="9" fillId="16" borderId="3" xfId="0" applyFont="1" applyFill="1" applyBorder="1">
      <alignment vertical="top"/>
    </xf>
    <xf numFmtId="0" fontId="7" fillId="0" borderId="3" xfId="0" applyFont="1" applyBorder="1" applyAlignment="1">
      <alignment horizontal="left" vertical="top"/>
    </xf>
    <xf numFmtId="177" fontId="7" fillId="0" borderId="3" xfId="0" applyNumberFormat="1" applyFont="1" applyBorder="1" applyAlignment="1">
      <alignment horizontal="right" vertical="top"/>
    </xf>
    <xf numFmtId="10" fontId="7" fillId="0" borderId="3" xfId="0" applyNumberFormat="1" applyFont="1" applyBorder="1" applyAlignment="1">
      <alignment horizontal="right" vertical="top"/>
    </xf>
    <xf numFmtId="0" fontId="10" fillId="17" borderId="3" xfId="0" applyFont="1" applyFill="1" applyBorder="1" applyAlignment="1">
      <alignment horizontal="left" vertical="top"/>
    </xf>
    <xf numFmtId="0" fontId="10" fillId="17" borderId="3" xfId="0" applyFont="1" applyFill="1" applyBorder="1" applyAlignment="1">
      <alignment horizontal="right" vertical="top"/>
    </xf>
    <xf numFmtId="0" fontId="7" fillId="18" borderId="3" xfId="0" applyFont="1" applyFill="1" applyBorder="1" applyAlignment="1">
      <alignment horizontal="left" vertical="top"/>
    </xf>
    <xf numFmtId="177" fontId="7" fillId="18" borderId="3" xfId="0" applyNumberFormat="1" applyFont="1" applyFill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0" fontId="12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1" xfId="0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ja-JP" altLang="en-US" sz="1050" b="0">
                <a:solidFill>
                  <a:srgbClr val="333333"/>
                </a:solidFill>
                <a:latin typeface="Arial"/>
              </a:rPr>
              <a:t>フェーズ別作業時間の内訳</a:t>
            </a:r>
            <a:endParaRPr lang="ja-JP" alt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作業時間サマリー!$B$2</c:f>
              <c:strCache>
                <c:ptCount val="1"/>
                <c:pt idx="0">
                  <c:v>作業時間（時間）</c:v>
                </c:pt>
              </c:strCache>
            </c:strRef>
          </c:tx>
          <c:spPr>
            <a:ln w="19050"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7E-448C-8CB7-338625CDE1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7E-448C-8CB7-338625CDE1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7E-448C-8CB7-338625CDE1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7E-448C-8CB7-338625CDE1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B7E-448C-8CB7-338625CDE1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B7E-448C-8CB7-338625CDE1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B7E-448C-8CB7-338625CDE1E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B7E-448C-8CB7-338625CDE1E8}"/>
              </c:ext>
            </c:extLst>
          </c:dPt>
          <c:dLbls>
            <c:spPr>
              <a:noFill/>
              <a:ln>
                <a:noFill/>
              </a:ln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作業時間サマリー!$A$3:$A$10</c:f>
              <c:strCache>
                <c:ptCount val="8"/>
                <c:pt idx="0">
                  <c:v>📋 企画・設計</c:v>
                </c:pt>
                <c:pt idx="1">
                  <c:v>⚙️ 環境構築</c:v>
                </c:pt>
                <c:pt idx="2">
                  <c:v>🏗️ HTML構造作成</c:v>
                </c:pt>
                <c:pt idx="3">
                  <c:v>🎨 CSSスタイリング</c:v>
                </c:pt>
                <c:pt idx="4">
                  <c:v>⚡ JavaScript実装</c:v>
                </c:pt>
                <c:pt idx="5">
                  <c:v>📝 コンテンツ投入</c:v>
                </c:pt>
                <c:pt idx="6">
                  <c:v>🧪 テスト・修正</c:v>
                </c:pt>
                <c:pt idx="7">
                  <c:v>🚀 公開</c:v>
                </c:pt>
              </c:strCache>
            </c:strRef>
          </c:cat>
          <c:val>
            <c:numRef>
              <c:f>作業時間サマリー!$B$3:$B$10</c:f>
              <c:numCache>
                <c:formatCode>#,##0.0</c:formatCode>
                <c:ptCount val="8"/>
                <c:pt idx="0">
                  <c:v>6.5</c:v>
                </c:pt>
                <c:pt idx="1">
                  <c:v>2.5</c:v>
                </c:pt>
                <c:pt idx="2">
                  <c:v>6</c:v>
                </c:pt>
                <c:pt idx="3">
                  <c:v>13</c:v>
                </c:pt>
                <c:pt idx="4">
                  <c:v>8.5</c:v>
                </c:pt>
                <c:pt idx="5">
                  <c:v>5</c:v>
                </c:pt>
                <c:pt idx="6">
                  <c:v>4</c:v>
                </c:pt>
                <c:pt idx="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B7E-448C-8CB7-338625CDE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ja-JP" altLang="en-US" sz="1050" b="0">
                <a:solidFill>
                  <a:srgbClr val="333333"/>
                </a:solidFill>
                <a:latin typeface="Arial"/>
              </a:rPr>
              <a:t>日別作業時間</a:t>
            </a:r>
            <a:endParaRPr lang="ja-JP" alt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作業時間サマリー!$A$15</c:f>
              <c:strCache>
                <c:ptCount val="1"/>
                <c:pt idx="0">
                  <c:v>3/2（月）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作業時間サマリー!$B$15</c:f>
              <c:numCache>
                <c:formatCode>#,##0.0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9-4C23-B855-77ACF2C0E172}"/>
            </c:ext>
          </c:extLst>
        </c:ser>
        <c:ser>
          <c:idx val="1"/>
          <c:order val="1"/>
          <c:tx>
            <c:strRef>
              <c:f>作業時間サマリー!$A$16</c:f>
              <c:strCache>
                <c:ptCount val="1"/>
                <c:pt idx="0">
                  <c:v>3/3（火）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作業時間サマリー!$B$16</c:f>
              <c:numCache>
                <c:formatCode>#,##0.0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79-4C23-B855-77ACF2C0E172}"/>
            </c:ext>
          </c:extLst>
        </c:ser>
        <c:ser>
          <c:idx val="2"/>
          <c:order val="2"/>
          <c:tx>
            <c:strRef>
              <c:f>作業時間サマリー!$A$17</c:f>
              <c:strCache>
                <c:ptCount val="1"/>
                <c:pt idx="0">
                  <c:v>3/4（水）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作業時間サマリー!$B$17</c:f>
              <c:numCache>
                <c:formatCode>#,##0.0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79-4C23-B855-77ACF2C0E172}"/>
            </c:ext>
          </c:extLst>
        </c:ser>
        <c:ser>
          <c:idx val="3"/>
          <c:order val="3"/>
          <c:tx>
            <c:strRef>
              <c:f>作業時間サマリー!$A$18</c:f>
              <c:strCache>
                <c:ptCount val="1"/>
                <c:pt idx="0">
                  <c:v>3/5（木）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作業時間サマリー!$B$18</c:f>
              <c:numCache>
                <c:formatCode>#,##0.0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79-4C23-B855-77ACF2C0E172}"/>
            </c:ext>
          </c:extLst>
        </c:ser>
        <c:ser>
          <c:idx val="4"/>
          <c:order val="4"/>
          <c:tx>
            <c:strRef>
              <c:f>作業時間サマリー!$A$19</c:f>
              <c:strCache>
                <c:ptCount val="1"/>
                <c:pt idx="0">
                  <c:v>3/6（金）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作業時間サマリー!$B$19</c:f>
              <c:numCache>
                <c:formatCode>#,##0.0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79-4C23-B855-77ACF2C0E172}"/>
            </c:ext>
          </c:extLst>
        </c:ser>
        <c:ser>
          <c:idx val="5"/>
          <c:order val="5"/>
          <c:tx>
            <c:strRef>
              <c:f>作業時間サマリー!$A$20</c:f>
              <c:strCache>
                <c:ptCount val="1"/>
                <c:pt idx="0">
                  <c:v>3/7（土）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作業時間サマリー!$B$20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79-4C23-B855-77ACF2C0E172}"/>
            </c:ext>
          </c:extLst>
        </c:ser>
        <c:ser>
          <c:idx val="6"/>
          <c:order val="6"/>
          <c:tx>
            <c:strRef>
              <c:f>作業時間サマリー!$A$21</c:f>
              <c:strCache>
                <c:ptCount val="1"/>
                <c:pt idx="0">
                  <c:v>3/8（日）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作業時間サマリー!$B$21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79-4C23-B855-77ACF2C0E172}"/>
            </c:ext>
          </c:extLst>
        </c:ser>
        <c:ser>
          <c:idx val="7"/>
          <c:order val="7"/>
          <c:tx>
            <c:strRef>
              <c:f>作業時間サマリー!$A$22</c:f>
              <c:strCache>
                <c:ptCount val="1"/>
                <c:pt idx="0">
                  <c:v>3/9（月）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作業時間サマリー!$B$22</c:f>
              <c:numCache>
                <c:formatCode>#,##0.0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79-4C23-B855-77ACF2C0E172}"/>
            </c:ext>
          </c:extLst>
        </c:ser>
        <c:ser>
          <c:idx val="8"/>
          <c:order val="8"/>
          <c:tx>
            <c:strRef>
              <c:f>作業時間サマリー!$A$23</c:f>
              <c:strCache>
                <c:ptCount val="1"/>
                <c:pt idx="0">
                  <c:v>3/10（火）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作業時間サマリー!$B$23</c:f>
              <c:numCache>
                <c:formatCode>#,##0.0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79-4C23-B855-77ACF2C0E172}"/>
            </c:ext>
          </c:extLst>
        </c:ser>
        <c:ser>
          <c:idx val="9"/>
          <c:order val="9"/>
          <c:tx>
            <c:strRef>
              <c:f>作業時間サマリー!$A$24</c:f>
              <c:strCache>
                <c:ptCount val="1"/>
                <c:pt idx="0">
                  <c:v>3/11（水）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作業時間サマリー!$B$14</c:f>
              <c:strCache>
                <c:ptCount val="1"/>
                <c:pt idx="0">
                  <c:v>作業時間（時間）</c:v>
                </c:pt>
              </c:strCache>
            </c:strRef>
          </c:cat>
          <c:val>
            <c:numRef>
              <c:f>作業時間サマリー!$B$24</c:f>
              <c:numCache>
                <c:formatCode>#,##0.0</c:formatCode>
                <c:ptCount val="1"/>
                <c:pt idx="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79-4C23-B855-77ACF2C0E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31370030"/>
        <c:axId val="54735499"/>
      </c:barChart>
      <c:catAx>
        <c:axId val="313700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ja-JP"/>
          </a:p>
        </c:txPr>
        <c:crossAx val="54735499"/>
        <c:crosses val="autoZero"/>
        <c:auto val="1"/>
        <c:lblAlgn val="ctr"/>
        <c:lblOffset val="0"/>
        <c:tickMarkSkip val="1"/>
        <c:noMultiLvlLbl val="1"/>
      </c:catAx>
      <c:valAx>
        <c:axId val="54735499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ja-JP"/>
          </a:p>
        </c:txPr>
        <c:crossAx val="31370030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ja-JP" altLang="en-US" sz="1050" b="0">
                <a:solidFill>
                  <a:srgbClr val="333333"/>
                </a:solidFill>
                <a:latin typeface="Arial"/>
              </a:rPr>
              <a:t>累積作業時間の推移</a:t>
            </a:r>
            <a:endParaRPr lang="ja-JP" alt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作業時間サマリー!$A$15</c:f>
              <c:strCache>
                <c:ptCount val="1"/>
                <c:pt idx="0">
                  <c:v>3/2（月）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作業時間サマリー!$C$15</c:f>
              <c:numCache>
                <c:formatCode>#,##0.0</c:formatCode>
                <c:ptCount val="1"/>
                <c:pt idx="0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A-4B35-8636-AA29FAA90BE9}"/>
            </c:ext>
          </c:extLst>
        </c:ser>
        <c:ser>
          <c:idx val="1"/>
          <c:order val="1"/>
          <c:tx>
            <c:strRef>
              <c:f>作業時間サマリー!$A$16</c:f>
              <c:strCache>
                <c:ptCount val="1"/>
                <c:pt idx="0">
                  <c:v>3/3（火）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作業時間サマリー!$C$16</c:f>
              <c:numCache>
                <c:formatCode>#,##0.0</c:formatCode>
                <c:ptCount val="1"/>
                <c:pt idx="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A-4B35-8636-AA29FAA90BE9}"/>
            </c:ext>
          </c:extLst>
        </c:ser>
        <c:ser>
          <c:idx val="2"/>
          <c:order val="2"/>
          <c:tx>
            <c:strRef>
              <c:f>作業時間サマリー!$A$17</c:f>
              <c:strCache>
                <c:ptCount val="1"/>
                <c:pt idx="0">
                  <c:v>3/4（水）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作業時間サマリー!$C$17</c:f>
              <c:numCache>
                <c:formatCode>#,##0.0</c:formatCode>
                <c:ptCount val="1"/>
                <c:pt idx="0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A-4B35-8636-AA29FAA90BE9}"/>
            </c:ext>
          </c:extLst>
        </c:ser>
        <c:ser>
          <c:idx val="3"/>
          <c:order val="3"/>
          <c:tx>
            <c:strRef>
              <c:f>作業時間サマリー!$A$18</c:f>
              <c:strCache>
                <c:ptCount val="1"/>
                <c:pt idx="0">
                  <c:v>3/5（木）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作業時間サマリー!$C$18</c:f>
              <c:numCache>
                <c:formatCode>#,##0.0</c:formatCode>
                <c:ptCount val="1"/>
                <c:pt idx="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3A-4B35-8636-AA29FAA90BE9}"/>
            </c:ext>
          </c:extLst>
        </c:ser>
        <c:ser>
          <c:idx val="4"/>
          <c:order val="4"/>
          <c:tx>
            <c:strRef>
              <c:f>作業時間サマリー!$A$19</c:f>
              <c:strCache>
                <c:ptCount val="1"/>
                <c:pt idx="0">
                  <c:v>3/6（金）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作業時間サマリー!$C$19</c:f>
              <c:numCache>
                <c:formatCode>#,##0.0</c:formatCode>
                <c:ptCount val="1"/>
                <c:pt idx="0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A-4B35-8636-AA29FAA90BE9}"/>
            </c:ext>
          </c:extLst>
        </c:ser>
        <c:ser>
          <c:idx val="5"/>
          <c:order val="5"/>
          <c:tx>
            <c:strRef>
              <c:f>作業時間サマリー!$A$20</c:f>
              <c:strCache>
                <c:ptCount val="1"/>
                <c:pt idx="0">
                  <c:v>3/7（土）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作業時間サマリー!$C$20</c:f>
              <c:numCache>
                <c:formatCode>#,##0.0</c:formatCode>
                <c:ptCount val="1"/>
                <c:pt idx="0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A-4B35-8636-AA29FAA90BE9}"/>
            </c:ext>
          </c:extLst>
        </c:ser>
        <c:ser>
          <c:idx val="6"/>
          <c:order val="6"/>
          <c:tx>
            <c:strRef>
              <c:f>作業時間サマリー!$A$21</c:f>
              <c:strCache>
                <c:ptCount val="1"/>
                <c:pt idx="0">
                  <c:v>3/8（日）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作業時間サマリー!$C$21</c:f>
              <c:numCache>
                <c:formatCode>#,##0.0</c:formatCode>
                <c:ptCount val="1"/>
                <c:pt idx="0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A-4B35-8636-AA29FAA90BE9}"/>
            </c:ext>
          </c:extLst>
        </c:ser>
        <c:ser>
          <c:idx val="7"/>
          <c:order val="7"/>
          <c:tx>
            <c:strRef>
              <c:f>作業時間サマリー!$A$22</c:f>
              <c:strCache>
                <c:ptCount val="1"/>
                <c:pt idx="0">
                  <c:v>3/9（月）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作業時間サマリー!$C$22</c:f>
              <c:numCache>
                <c:formatCode>#,##0.0</c:formatCode>
                <c:ptCount val="1"/>
                <c:pt idx="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A-4B35-8636-AA29FAA90BE9}"/>
            </c:ext>
          </c:extLst>
        </c:ser>
        <c:ser>
          <c:idx val="8"/>
          <c:order val="8"/>
          <c:tx>
            <c:strRef>
              <c:f>作業時間サマリー!$A$23</c:f>
              <c:strCache>
                <c:ptCount val="1"/>
                <c:pt idx="0">
                  <c:v>3/10（火）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作業時間サマリー!$C$23</c:f>
              <c:numCache>
                <c:formatCode>#,##0.0</c:formatCode>
                <c:ptCount val="1"/>
                <c:pt idx="0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3A-4B35-8636-AA29FAA90BE9}"/>
            </c:ext>
          </c:extLst>
        </c:ser>
        <c:ser>
          <c:idx val="9"/>
          <c:order val="9"/>
          <c:tx>
            <c:strRef>
              <c:f>作業時間サマリー!$A$24</c:f>
              <c:strCache>
                <c:ptCount val="1"/>
                <c:pt idx="0">
                  <c:v>3/11（水）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strRef>
              <c:f>作業時間サマリー!$C$14</c:f>
              <c:strCache>
                <c:ptCount val="1"/>
                <c:pt idx="0">
                  <c:v>累積時間</c:v>
                </c:pt>
              </c:strCache>
            </c:strRef>
          </c:cat>
          <c:val>
            <c:numRef>
              <c:f>作業時間サマリー!$C$24</c:f>
              <c:numCache>
                <c:formatCode>#,##0.0</c:formatCode>
                <c:ptCount val="1"/>
                <c:pt idx="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3A-4B35-8636-AA29FAA90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98398"/>
        <c:axId val="81220763"/>
      </c:lineChart>
      <c:catAx>
        <c:axId val="94898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ja-JP"/>
          </a:p>
        </c:txPr>
        <c:crossAx val="81220763"/>
        <c:crosses val="autoZero"/>
        <c:auto val="1"/>
        <c:lblAlgn val="ctr"/>
        <c:lblOffset val="0"/>
        <c:tickMarkSkip val="1"/>
        <c:noMultiLvlLbl val="1"/>
      </c:catAx>
      <c:valAx>
        <c:axId val="81220763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ja-JP"/>
          </a:p>
        </c:txPr>
        <c:crossAx val="94898398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4</xdr:row>
      <xdr:rowOff>47625</xdr:rowOff>
    </xdr:from>
    <xdr:to>
      <xdr:col>7</xdr:col>
      <xdr:colOff>152400</xdr:colOff>
      <xdr:row>18</xdr:row>
      <xdr:rowOff>95250</xdr:rowOff>
    </xdr:to>
    <xdr:graphicFrame macro="">
      <xdr:nvGraphicFramePr>
        <xdr:cNvPr id="2" name="Phase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19</xdr:row>
      <xdr:rowOff>95250</xdr:rowOff>
    </xdr:from>
    <xdr:to>
      <xdr:col>10</xdr:col>
      <xdr:colOff>285750</xdr:colOff>
      <xdr:row>34</xdr:row>
      <xdr:rowOff>95250</xdr:rowOff>
    </xdr:to>
    <xdr:graphicFrame macro="">
      <xdr:nvGraphicFramePr>
        <xdr:cNvPr id="3" name="Daily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95250</xdr:rowOff>
    </xdr:from>
    <xdr:to>
      <xdr:col>3</xdr:col>
      <xdr:colOff>285750</xdr:colOff>
      <xdr:row>50</xdr:row>
      <xdr:rowOff>95250</xdr:rowOff>
    </xdr:to>
    <xdr:graphicFrame macro="">
      <xdr:nvGraphicFramePr>
        <xdr:cNvPr id="4" name="Cumulative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F0D5-4588-4D68-AFA8-8282E81E3348}">
  <dimension ref="A1:K55"/>
  <sheetViews>
    <sheetView tabSelected="1" workbookViewId="0">
      <pane ySplit="1" topLeftCell="A21" activePane="bottomLeft" state="frozen"/>
      <selection pane="bottomLeft" activeCell="G39" sqref="G39"/>
    </sheetView>
  </sheetViews>
  <sheetFormatPr defaultColWidth="8.796875" defaultRowHeight="15" customHeight="1"/>
  <cols>
    <col min="1" max="1" width="10" customWidth="1"/>
    <col min="2" max="2" width="20" customWidth="1"/>
    <col min="3" max="3" width="35.69921875" customWidth="1"/>
    <col min="4" max="4" width="50" customWidth="1"/>
    <col min="5" max="5" width="11.3984375" customWidth="1"/>
    <col min="6" max="7" width="14.296875" customWidth="1"/>
    <col min="8" max="8" width="17.09765625" customWidth="1"/>
    <col min="9" max="9" width="14.296875" customWidth="1"/>
    <col min="10" max="10" width="12.796875" customWidth="1"/>
    <col min="11" max="11" width="28.59765625" customWidth="1"/>
  </cols>
  <sheetData>
    <row r="1" spans="1:11" ht="1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</row>
    <row r="2" spans="1:11" ht="18.75" customHeight="1">
      <c r="A2" s="1" t="s">
        <v>11</v>
      </c>
      <c r="B2" s="2" t="s">
        <v>12</v>
      </c>
      <c r="C2" s="3" t="s">
        <v>13</v>
      </c>
      <c r="D2" s="3" t="s">
        <v>14</v>
      </c>
      <c r="E2" s="1" t="s">
        <v>15</v>
      </c>
      <c r="F2" s="4" t="s">
        <v>16</v>
      </c>
      <c r="G2" s="4" t="s">
        <v>16</v>
      </c>
      <c r="H2" s="5">
        <v>1</v>
      </c>
      <c r="I2" s="37" t="s">
        <v>216</v>
      </c>
      <c r="J2" s="7" t="s">
        <v>18</v>
      </c>
      <c r="K2" s="3"/>
    </row>
    <row r="3" spans="1:11" ht="18.75" customHeight="1">
      <c r="A3" s="1" t="s">
        <v>19</v>
      </c>
      <c r="B3" s="2" t="s">
        <v>12</v>
      </c>
      <c r="C3" s="3" t="s">
        <v>20</v>
      </c>
      <c r="D3" s="3" t="s">
        <v>21</v>
      </c>
      <c r="E3" s="1" t="s">
        <v>15</v>
      </c>
      <c r="F3" s="4" t="s">
        <v>16</v>
      </c>
      <c r="G3" s="4" t="s">
        <v>16</v>
      </c>
      <c r="H3" s="5">
        <v>1</v>
      </c>
      <c r="I3" s="37" t="s">
        <v>216</v>
      </c>
      <c r="J3" s="7" t="s">
        <v>18</v>
      </c>
      <c r="K3" s="3"/>
    </row>
    <row r="4" spans="1:11" ht="18.75" customHeight="1">
      <c r="A4" s="1" t="s">
        <v>22</v>
      </c>
      <c r="B4" s="2" t="s">
        <v>12</v>
      </c>
      <c r="C4" s="3" t="s">
        <v>23</v>
      </c>
      <c r="D4" s="3" t="s">
        <v>24</v>
      </c>
      <c r="E4" s="1" t="s">
        <v>15</v>
      </c>
      <c r="F4" s="4" t="s">
        <v>16</v>
      </c>
      <c r="G4" s="4" t="s">
        <v>16</v>
      </c>
      <c r="H4" s="5">
        <v>1</v>
      </c>
      <c r="I4" s="37" t="s">
        <v>216</v>
      </c>
      <c r="J4" s="8" t="s">
        <v>25</v>
      </c>
      <c r="K4" s="3"/>
    </row>
    <row r="5" spans="1:11" ht="18.75" customHeight="1">
      <c r="A5" s="1" t="s">
        <v>26</v>
      </c>
      <c r="B5" s="2" t="s">
        <v>12</v>
      </c>
      <c r="C5" s="3" t="s">
        <v>27</v>
      </c>
      <c r="D5" s="3" t="s">
        <v>28</v>
      </c>
      <c r="E5" s="1" t="s">
        <v>15</v>
      </c>
      <c r="F5" s="4" t="s">
        <v>16</v>
      </c>
      <c r="G5" s="4" t="s">
        <v>29</v>
      </c>
      <c r="H5" s="5">
        <v>2</v>
      </c>
      <c r="I5" s="37" t="s">
        <v>216</v>
      </c>
      <c r="J5" s="7" t="s">
        <v>18</v>
      </c>
      <c r="K5" s="3"/>
    </row>
    <row r="6" spans="1:11" ht="18.75" customHeight="1">
      <c r="A6" s="1" t="s">
        <v>30</v>
      </c>
      <c r="B6" s="2" t="s">
        <v>12</v>
      </c>
      <c r="C6" s="3" t="s">
        <v>31</v>
      </c>
      <c r="D6" s="3" t="s">
        <v>32</v>
      </c>
      <c r="E6" s="1" t="s">
        <v>15</v>
      </c>
      <c r="F6" s="4" t="s">
        <v>29</v>
      </c>
      <c r="G6" s="4" t="s">
        <v>29</v>
      </c>
      <c r="H6" s="5">
        <v>1</v>
      </c>
      <c r="I6" s="37" t="s">
        <v>216</v>
      </c>
      <c r="J6" s="8" t="s">
        <v>25</v>
      </c>
      <c r="K6" s="3"/>
    </row>
    <row r="7" spans="1:11" ht="18.75" customHeight="1">
      <c r="A7" s="1" t="s">
        <v>33</v>
      </c>
      <c r="B7" s="2" t="s">
        <v>12</v>
      </c>
      <c r="C7" s="3" t="s">
        <v>34</v>
      </c>
      <c r="D7" s="3" t="s">
        <v>35</v>
      </c>
      <c r="E7" s="1" t="s">
        <v>15</v>
      </c>
      <c r="F7" s="4" t="s">
        <v>29</v>
      </c>
      <c r="G7" s="4" t="s">
        <v>29</v>
      </c>
      <c r="H7" s="5">
        <v>0.5</v>
      </c>
      <c r="I7" s="37" t="s">
        <v>216</v>
      </c>
      <c r="J7" s="7" t="s">
        <v>18</v>
      </c>
      <c r="K7" s="3"/>
    </row>
    <row r="8" spans="1:11" ht="18.75" customHeight="1">
      <c r="A8" s="1" t="s">
        <v>36</v>
      </c>
      <c r="B8" s="9" t="s">
        <v>37</v>
      </c>
      <c r="C8" s="3" t="s">
        <v>38</v>
      </c>
      <c r="D8" s="3" t="s">
        <v>39</v>
      </c>
      <c r="E8" s="1" t="s">
        <v>15</v>
      </c>
      <c r="F8" s="4" t="s">
        <v>29</v>
      </c>
      <c r="G8" s="4" t="s">
        <v>29</v>
      </c>
      <c r="H8" s="5">
        <v>0.5</v>
      </c>
      <c r="I8" s="37" t="s">
        <v>216</v>
      </c>
      <c r="J8" s="7" t="s">
        <v>18</v>
      </c>
      <c r="K8" s="3"/>
    </row>
    <row r="9" spans="1:11" ht="18.75" customHeight="1">
      <c r="A9" s="1" t="s">
        <v>40</v>
      </c>
      <c r="B9" s="9" t="s">
        <v>37</v>
      </c>
      <c r="C9" s="3" t="s">
        <v>41</v>
      </c>
      <c r="D9" s="3" t="s">
        <v>42</v>
      </c>
      <c r="E9" s="1" t="s">
        <v>15</v>
      </c>
      <c r="F9" s="4" t="s">
        <v>29</v>
      </c>
      <c r="G9" s="4" t="s">
        <v>29</v>
      </c>
      <c r="H9" s="5">
        <v>0.5</v>
      </c>
      <c r="I9" s="37" t="s">
        <v>216</v>
      </c>
      <c r="J9" s="7" t="s">
        <v>18</v>
      </c>
      <c r="K9" s="3"/>
    </row>
    <row r="10" spans="1:11" ht="18.75" customHeight="1">
      <c r="A10" s="1" t="s">
        <v>43</v>
      </c>
      <c r="B10" s="9" t="s">
        <v>37</v>
      </c>
      <c r="C10" s="3" t="s">
        <v>44</v>
      </c>
      <c r="D10" s="3" t="s">
        <v>45</v>
      </c>
      <c r="E10" s="1" t="s">
        <v>15</v>
      </c>
      <c r="F10" s="4" t="s">
        <v>29</v>
      </c>
      <c r="G10" s="4" t="s">
        <v>29</v>
      </c>
      <c r="H10" s="5">
        <v>0.5</v>
      </c>
      <c r="I10" s="37" t="s">
        <v>216</v>
      </c>
      <c r="J10" s="8" t="s">
        <v>25</v>
      </c>
      <c r="K10" s="3"/>
    </row>
    <row r="11" spans="1:11" ht="18.75" customHeight="1">
      <c r="A11" s="1" t="s">
        <v>46</v>
      </c>
      <c r="B11" s="9" t="s">
        <v>37</v>
      </c>
      <c r="C11" s="3" t="s">
        <v>47</v>
      </c>
      <c r="D11" s="3" t="s">
        <v>48</v>
      </c>
      <c r="E11" s="1" t="s">
        <v>15</v>
      </c>
      <c r="F11" s="4" t="s">
        <v>29</v>
      </c>
      <c r="G11" s="4" t="s">
        <v>29</v>
      </c>
      <c r="H11" s="5">
        <v>1</v>
      </c>
      <c r="I11" s="37" t="s">
        <v>216</v>
      </c>
      <c r="J11" s="7" t="s">
        <v>18</v>
      </c>
      <c r="K11" s="3"/>
    </row>
    <row r="12" spans="1:11" ht="18.75" customHeight="1">
      <c r="A12" s="1" t="s">
        <v>49</v>
      </c>
      <c r="B12" s="10" t="s">
        <v>50</v>
      </c>
      <c r="C12" s="3" t="s">
        <v>51</v>
      </c>
      <c r="D12" s="3" t="s">
        <v>52</v>
      </c>
      <c r="E12" s="1" t="s">
        <v>15</v>
      </c>
      <c r="F12" s="4" t="s">
        <v>53</v>
      </c>
      <c r="G12" s="4" t="s">
        <v>53</v>
      </c>
      <c r="H12" s="5">
        <v>0.5</v>
      </c>
      <c r="I12" s="37" t="s">
        <v>216</v>
      </c>
      <c r="J12" s="7" t="s">
        <v>18</v>
      </c>
      <c r="K12" s="3"/>
    </row>
    <row r="13" spans="1:11" ht="18.75" customHeight="1">
      <c r="A13" s="1" t="s">
        <v>54</v>
      </c>
      <c r="B13" s="10" t="s">
        <v>50</v>
      </c>
      <c r="C13" s="3" t="s">
        <v>55</v>
      </c>
      <c r="D13" s="3" t="s">
        <v>56</v>
      </c>
      <c r="E13" s="1" t="s">
        <v>15</v>
      </c>
      <c r="F13" s="4" t="s">
        <v>53</v>
      </c>
      <c r="G13" s="4" t="s">
        <v>53</v>
      </c>
      <c r="H13" s="5">
        <v>0.5</v>
      </c>
      <c r="I13" s="37" t="s">
        <v>216</v>
      </c>
      <c r="J13" s="7" t="s">
        <v>18</v>
      </c>
      <c r="K13" s="3"/>
    </row>
    <row r="14" spans="1:11" ht="18.75" customHeight="1">
      <c r="A14" s="1" t="s">
        <v>57</v>
      </c>
      <c r="B14" s="10" t="s">
        <v>50</v>
      </c>
      <c r="C14" s="3" t="s">
        <v>58</v>
      </c>
      <c r="D14" s="3" t="s">
        <v>59</v>
      </c>
      <c r="E14" s="1" t="s">
        <v>15</v>
      </c>
      <c r="F14" s="4" t="s">
        <v>53</v>
      </c>
      <c r="G14" s="4" t="s">
        <v>53</v>
      </c>
      <c r="H14" s="5">
        <v>0.5</v>
      </c>
      <c r="I14" s="37" t="s">
        <v>216</v>
      </c>
      <c r="J14" s="7" t="s">
        <v>18</v>
      </c>
      <c r="K14" s="3"/>
    </row>
    <row r="15" spans="1:11" ht="18.75" customHeight="1">
      <c r="A15" s="1" t="s">
        <v>60</v>
      </c>
      <c r="B15" s="10" t="s">
        <v>50</v>
      </c>
      <c r="C15" s="3" t="s">
        <v>61</v>
      </c>
      <c r="D15" s="3" t="s">
        <v>62</v>
      </c>
      <c r="E15" s="1" t="s">
        <v>15</v>
      </c>
      <c r="F15" s="4" t="s">
        <v>53</v>
      </c>
      <c r="G15" s="4" t="s">
        <v>53</v>
      </c>
      <c r="H15" s="5">
        <v>1</v>
      </c>
      <c r="I15" s="37" t="s">
        <v>216</v>
      </c>
      <c r="J15" s="7" t="s">
        <v>18</v>
      </c>
      <c r="K15" s="3"/>
    </row>
    <row r="16" spans="1:11" ht="18.75" customHeight="1">
      <c r="A16" s="1" t="s">
        <v>63</v>
      </c>
      <c r="B16" s="10" t="s">
        <v>50</v>
      </c>
      <c r="C16" s="3" t="s">
        <v>64</v>
      </c>
      <c r="D16" s="3" t="s">
        <v>65</v>
      </c>
      <c r="E16" s="1" t="s">
        <v>15</v>
      </c>
      <c r="F16" s="4" t="s">
        <v>53</v>
      </c>
      <c r="G16" s="4" t="s">
        <v>53</v>
      </c>
      <c r="H16" s="5">
        <v>1</v>
      </c>
      <c r="I16" s="37" t="s">
        <v>216</v>
      </c>
      <c r="J16" s="7" t="s">
        <v>18</v>
      </c>
      <c r="K16" s="3"/>
    </row>
    <row r="17" spans="1:11" ht="18.75" customHeight="1">
      <c r="A17" s="1" t="s">
        <v>66</v>
      </c>
      <c r="B17" s="10" t="s">
        <v>50</v>
      </c>
      <c r="C17" s="3" t="s">
        <v>67</v>
      </c>
      <c r="D17" s="3" t="s">
        <v>68</v>
      </c>
      <c r="E17" s="1" t="s">
        <v>15</v>
      </c>
      <c r="F17" s="4" t="s">
        <v>53</v>
      </c>
      <c r="G17" s="4" t="s">
        <v>69</v>
      </c>
      <c r="H17" s="5">
        <v>1</v>
      </c>
      <c r="I17" s="37" t="s">
        <v>216</v>
      </c>
      <c r="J17" s="7" t="s">
        <v>18</v>
      </c>
      <c r="K17" s="3"/>
    </row>
    <row r="18" spans="1:11" ht="18.75" customHeight="1">
      <c r="A18" s="1" t="s">
        <v>70</v>
      </c>
      <c r="B18" s="10" t="s">
        <v>50</v>
      </c>
      <c r="C18" s="3" t="s">
        <v>71</v>
      </c>
      <c r="D18" s="3" t="s">
        <v>72</v>
      </c>
      <c r="E18" s="1" t="s">
        <v>15</v>
      </c>
      <c r="F18" s="4" t="s">
        <v>69</v>
      </c>
      <c r="G18" s="4" t="s">
        <v>69</v>
      </c>
      <c r="H18" s="5">
        <v>0.5</v>
      </c>
      <c r="I18" s="37" t="s">
        <v>216</v>
      </c>
      <c r="J18" s="8" t="s">
        <v>25</v>
      </c>
      <c r="K18" s="3"/>
    </row>
    <row r="19" spans="1:11" ht="18.75" customHeight="1">
      <c r="A19" s="1" t="s">
        <v>73</v>
      </c>
      <c r="B19" s="10" t="s">
        <v>50</v>
      </c>
      <c r="C19" s="3" t="s">
        <v>74</v>
      </c>
      <c r="D19" s="3" t="s">
        <v>75</v>
      </c>
      <c r="E19" s="1" t="s">
        <v>15</v>
      </c>
      <c r="F19" s="4" t="s">
        <v>69</v>
      </c>
      <c r="G19" s="4" t="s">
        <v>69</v>
      </c>
      <c r="H19" s="5">
        <v>0.5</v>
      </c>
      <c r="I19" s="37" t="s">
        <v>216</v>
      </c>
      <c r="J19" s="7" t="s">
        <v>18</v>
      </c>
      <c r="K19" s="3"/>
    </row>
    <row r="20" spans="1:11" ht="18.75" customHeight="1">
      <c r="A20" s="1" t="s">
        <v>76</v>
      </c>
      <c r="B20" s="10" t="s">
        <v>50</v>
      </c>
      <c r="C20" s="3" t="s">
        <v>77</v>
      </c>
      <c r="D20" s="3" t="s">
        <v>78</v>
      </c>
      <c r="E20" s="1" t="s">
        <v>15</v>
      </c>
      <c r="F20" s="4" t="s">
        <v>69</v>
      </c>
      <c r="G20" s="4" t="s">
        <v>69</v>
      </c>
      <c r="H20" s="5">
        <v>0.5</v>
      </c>
      <c r="I20" s="37" t="s">
        <v>216</v>
      </c>
      <c r="J20" s="11" t="s">
        <v>79</v>
      </c>
      <c r="K20" s="3"/>
    </row>
    <row r="21" spans="1:11" ht="18.75" customHeight="1">
      <c r="A21" s="1" t="s">
        <v>80</v>
      </c>
      <c r="B21" s="12" t="s">
        <v>81</v>
      </c>
      <c r="C21" s="3" t="s">
        <v>82</v>
      </c>
      <c r="D21" s="3" t="s">
        <v>83</v>
      </c>
      <c r="E21" s="1" t="s">
        <v>15</v>
      </c>
      <c r="F21" s="4" t="s">
        <v>69</v>
      </c>
      <c r="G21" s="4" t="s">
        <v>69</v>
      </c>
      <c r="H21" s="5">
        <v>1</v>
      </c>
      <c r="I21" s="37" t="s">
        <v>216</v>
      </c>
      <c r="J21" s="7" t="s">
        <v>18</v>
      </c>
      <c r="K21" s="3"/>
    </row>
    <row r="22" spans="1:11" ht="18.75" customHeight="1">
      <c r="A22" s="1" t="s">
        <v>84</v>
      </c>
      <c r="B22" s="12" t="s">
        <v>81</v>
      </c>
      <c r="C22" s="3" t="s">
        <v>85</v>
      </c>
      <c r="D22" s="3" t="s">
        <v>86</v>
      </c>
      <c r="E22" s="1" t="s">
        <v>15</v>
      </c>
      <c r="F22" s="4" t="s">
        <v>69</v>
      </c>
      <c r="G22" s="4" t="s">
        <v>87</v>
      </c>
      <c r="H22" s="5">
        <v>1</v>
      </c>
      <c r="I22" s="37" t="s">
        <v>216</v>
      </c>
      <c r="J22" s="7" t="s">
        <v>18</v>
      </c>
      <c r="K22" s="3"/>
    </row>
    <row r="23" spans="1:11" ht="18.75" customHeight="1">
      <c r="A23" s="1" t="s">
        <v>88</v>
      </c>
      <c r="B23" s="12" t="s">
        <v>81</v>
      </c>
      <c r="C23" s="3" t="s">
        <v>89</v>
      </c>
      <c r="D23" s="3" t="s">
        <v>90</v>
      </c>
      <c r="E23" s="1" t="s">
        <v>15</v>
      </c>
      <c r="F23" s="4" t="s">
        <v>87</v>
      </c>
      <c r="G23" s="4" t="s">
        <v>87</v>
      </c>
      <c r="H23" s="5">
        <v>1.5</v>
      </c>
      <c r="I23" s="37" t="s">
        <v>216</v>
      </c>
      <c r="J23" s="7" t="s">
        <v>18</v>
      </c>
      <c r="K23" s="3"/>
    </row>
    <row r="24" spans="1:11" ht="18.75" customHeight="1">
      <c r="A24" s="1" t="s">
        <v>91</v>
      </c>
      <c r="B24" s="12" t="s">
        <v>81</v>
      </c>
      <c r="C24" s="3" t="s">
        <v>92</v>
      </c>
      <c r="D24" s="3" t="s">
        <v>93</v>
      </c>
      <c r="E24" s="1" t="s">
        <v>15</v>
      </c>
      <c r="F24" s="4" t="s">
        <v>87</v>
      </c>
      <c r="G24" s="4" t="s">
        <v>87</v>
      </c>
      <c r="H24" s="5">
        <v>1</v>
      </c>
      <c r="I24" s="37" t="s">
        <v>216</v>
      </c>
      <c r="J24" s="7" t="s">
        <v>18</v>
      </c>
      <c r="K24" s="3"/>
    </row>
    <row r="25" spans="1:11" ht="18.75" customHeight="1">
      <c r="A25" s="1" t="s">
        <v>94</v>
      </c>
      <c r="B25" s="12" t="s">
        <v>81</v>
      </c>
      <c r="C25" s="3" t="s">
        <v>95</v>
      </c>
      <c r="D25" s="3" t="s">
        <v>96</v>
      </c>
      <c r="E25" s="1" t="s">
        <v>15</v>
      </c>
      <c r="F25" s="4" t="s">
        <v>87</v>
      </c>
      <c r="G25" s="4" t="s">
        <v>87</v>
      </c>
      <c r="H25" s="5">
        <v>1.5</v>
      </c>
      <c r="I25" s="37" t="s">
        <v>216</v>
      </c>
      <c r="J25" s="7" t="s">
        <v>18</v>
      </c>
      <c r="K25" s="3"/>
    </row>
    <row r="26" spans="1:11" ht="18.75" customHeight="1">
      <c r="A26" s="1" t="s">
        <v>97</v>
      </c>
      <c r="B26" s="12" t="s">
        <v>81</v>
      </c>
      <c r="C26" s="3" t="s">
        <v>98</v>
      </c>
      <c r="D26" s="3" t="s">
        <v>99</v>
      </c>
      <c r="E26" s="1" t="s">
        <v>15</v>
      </c>
      <c r="F26" s="4" t="s">
        <v>87</v>
      </c>
      <c r="G26" s="4" t="s">
        <v>100</v>
      </c>
      <c r="H26" s="5">
        <v>2</v>
      </c>
      <c r="I26" s="37" t="s">
        <v>216</v>
      </c>
      <c r="J26" s="7" t="s">
        <v>18</v>
      </c>
      <c r="K26" s="3"/>
    </row>
    <row r="27" spans="1:11" ht="18.75" customHeight="1">
      <c r="A27" s="1" t="s">
        <v>101</v>
      </c>
      <c r="B27" s="12" t="s">
        <v>81</v>
      </c>
      <c r="C27" s="3" t="s">
        <v>102</v>
      </c>
      <c r="D27" s="3" t="s">
        <v>103</v>
      </c>
      <c r="E27" s="1" t="s">
        <v>15</v>
      </c>
      <c r="F27" s="4" t="s">
        <v>100</v>
      </c>
      <c r="G27" s="4" t="s">
        <v>100</v>
      </c>
      <c r="H27" s="5">
        <v>1</v>
      </c>
      <c r="I27" s="37" t="s">
        <v>216</v>
      </c>
      <c r="J27" s="8" t="s">
        <v>25</v>
      </c>
      <c r="K27" s="3"/>
    </row>
    <row r="28" spans="1:11" ht="18.75" customHeight="1">
      <c r="A28" s="1" t="s">
        <v>104</v>
      </c>
      <c r="B28" s="12" t="s">
        <v>81</v>
      </c>
      <c r="C28" s="3" t="s">
        <v>105</v>
      </c>
      <c r="D28" s="3" t="s">
        <v>106</v>
      </c>
      <c r="E28" s="1" t="s">
        <v>15</v>
      </c>
      <c r="F28" s="4" t="s">
        <v>100</v>
      </c>
      <c r="G28" s="4" t="s">
        <v>100</v>
      </c>
      <c r="H28" s="5">
        <v>1</v>
      </c>
      <c r="I28" s="37" t="s">
        <v>216</v>
      </c>
      <c r="J28" s="7" t="s">
        <v>18</v>
      </c>
      <c r="K28" s="3"/>
    </row>
    <row r="29" spans="1:11" ht="18.75" customHeight="1">
      <c r="A29" s="1" t="s">
        <v>107</v>
      </c>
      <c r="B29" s="12" t="s">
        <v>81</v>
      </c>
      <c r="C29" s="3" t="s">
        <v>108</v>
      </c>
      <c r="D29" s="3" t="s">
        <v>109</v>
      </c>
      <c r="E29" s="1" t="s">
        <v>15</v>
      </c>
      <c r="F29" s="4" t="s">
        <v>100</v>
      </c>
      <c r="G29" s="4" t="s">
        <v>100</v>
      </c>
      <c r="H29" s="5">
        <v>2</v>
      </c>
      <c r="I29" s="37" t="s">
        <v>217</v>
      </c>
      <c r="J29" s="7" t="s">
        <v>18</v>
      </c>
      <c r="K29" s="3"/>
    </row>
    <row r="30" spans="1:11" ht="18.75" customHeight="1">
      <c r="A30" s="1" t="s">
        <v>110</v>
      </c>
      <c r="B30" s="12" t="s">
        <v>81</v>
      </c>
      <c r="C30" s="3" t="s">
        <v>111</v>
      </c>
      <c r="D30" s="3" t="s">
        <v>112</v>
      </c>
      <c r="E30" s="1" t="s">
        <v>15</v>
      </c>
      <c r="F30" s="4" t="s">
        <v>100</v>
      </c>
      <c r="G30" s="4" t="s">
        <v>100</v>
      </c>
      <c r="H30" s="5">
        <v>1</v>
      </c>
      <c r="I30" s="37" t="s">
        <v>217</v>
      </c>
      <c r="J30" s="8" t="s">
        <v>25</v>
      </c>
      <c r="K30" s="3"/>
    </row>
    <row r="31" spans="1:11" ht="18.75" customHeight="1">
      <c r="A31" s="1" t="s">
        <v>113</v>
      </c>
      <c r="B31" s="13" t="s">
        <v>114</v>
      </c>
      <c r="C31" s="3" t="s">
        <v>115</v>
      </c>
      <c r="D31" s="3" t="s">
        <v>116</v>
      </c>
      <c r="E31" s="1" t="s">
        <v>15</v>
      </c>
      <c r="F31" s="4" t="s">
        <v>100</v>
      </c>
      <c r="G31" s="4" t="s">
        <v>117</v>
      </c>
      <c r="H31" s="5">
        <v>1</v>
      </c>
      <c r="I31" s="37" t="s">
        <v>217</v>
      </c>
      <c r="J31" s="7" t="s">
        <v>18</v>
      </c>
      <c r="K31" s="3"/>
    </row>
    <row r="32" spans="1:11" ht="18.75" customHeight="1">
      <c r="A32" s="1" t="s">
        <v>118</v>
      </c>
      <c r="B32" s="13" t="s">
        <v>114</v>
      </c>
      <c r="C32" s="3" t="s">
        <v>119</v>
      </c>
      <c r="D32" s="3" t="s">
        <v>120</v>
      </c>
      <c r="E32" s="1" t="s">
        <v>15</v>
      </c>
      <c r="F32" s="4" t="s">
        <v>117</v>
      </c>
      <c r="G32" s="4" t="s">
        <v>117</v>
      </c>
      <c r="H32" s="5">
        <v>0.5</v>
      </c>
      <c r="I32" s="37" t="s">
        <v>217</v>
      </c>
      <c r="J32" s="7" t="s">
        <v>18</v>
      </c>
      <c r="K32" s="3"/>
    </row>
    <row r="33" spans="1:11" ht="18.75" customHeight="1">
      <c r="A33" s="1" t="s">
        <v>121</v>
      </c>
      <c r="B33" s="13" t="s">
        <v>114</v>
      </c>
      <c r="C33" s="3" t="s">
        <v>122</v>
      </c>
      <c r="D33" s="3" t="s">
        <v>123</v>
      </c>
      <c r="E33" s="1" t="s">
        <v>15</v>
      </c>
      <c r="F33" s="4" t="s">
        <v>117</v>
      </c>
      <c r="G33" s="4" t="s">
        <v>117</v>
      </c>
      <c r="H33" s="5">
        <v>1.5</v>
      </c>
      <c r="I33" s="37" t="s">
        <v>217</v>
      </c>
      <c r="J33" s="7" t="s">
        <v>18</v>
      </c>
      <c r="K33" s="3"/>
    </row>
    <row r="34" spans="1:11" ht="18.75" customHeight="1">
      <c r="A34" s="1" t="s">
        <v>124</v>
      </c>
      <c r="B34" s="13" t="s">
        <v>114</v>
      </c>
      <c r="C34" s="3" t="s">
        <v>125</v>
      </c>
      <c r="D34" s="3" t="s">
        <v>126</v>
      </c>
      <c r="E34" s="1" t="s">
        <v>15</v>
      </c>
      <c r="F34" s="4" t="s">
        <v>117</v>
      </c>
      <c r="G34" s="4" t="s">
        <v>117</v>
      </c>
      <c r="H34" s="5">
        <v>1</v>
      </c>
      <c r="I34" s="37" t="s">
        <v>217</v>
      </c>
      <c r="J34" s="8" t="s">
        <v>25</v>
      </c>
      <c r="K34" s="3"/>
    </row>
    <row r="35" spans="1:11" ht="18.75" customHeight="1">
      <c r="A35" s="1" t="s">
        <v>127</v>
      </c>
      <c r="B35" s="13" t="s">
        <v>114</v>
      </c>
      <c r="C35" s="3" t="s">
        <v>128</v>
      </c>
      <c r="D35" s="3" t="s">
        <v>129</v>
      </c>
      <c r="E35" s="1" t="s">
        <v>15</v>
      </c>
      <c r="F35" s="4" t="s">
        <v>117</v>
      </c>
      <c r="G35" s="4" t="s">
        <v>130</v>
      </c>
      <c r="H35" s="5">
        <v>1.5</v>
      </c>
      <c r="I35" s="37" t="s">
        <v>217</v>
      </c>
      <c r="J35" s="8" t="s">
        <v>25</v>
      </c>
      <c r="K35" s="3"/>
    </row>
    <row r="36" spans="1:11" ht="18.75" customHeight="1">
      <c r="A36" s="1" t="s">
        <v>131</v>
      </c>
      <c r="B36" s="13" t="s">
        <v>114</v>
      </c>
      <c r="C36" s="3" t="s">
        <v>132</v>
      </c>
      <c r="D36" s="3" t="s">
        <v>133</v>
      </c>
      <c r="E36" s="1" t="s">
        <v>15</v>
      </c>
      <c r="F36" s="4" t="s">
        <v>130</v>
      </c>
      <c r="G36" s="4" t="s">
        <v>130</v>
      </c>
      <c r="H36" s="5">
        <v>1.5</v>
      </c>
      <c r="I36" s="37" t="s">
        <v>216</v>
      </c>
      <c r="J36" s="8" t="s">
        <v>25</v>
      </c>
      <c r="K36" s="3"/>
    </row>
    <row r="37" spans="1:11" ht="18.75" customHeight="1">
      <c r="A37" s="1" t="s">
        <v>134</v>
      </c>
      <c r="B37" s="13" t="s">
        <v>114</v>
      </c>
      <c r="C37" s="3" t="s">
        <v>135</v>
      </c>
      <c r="D37" s="3" t="s">
        <v>136</v>
      </c>
      <c r="E37" s="1" t="s">
        <v>15</v>
      </c>
      <c r="F37" s="4" t="s">
        <v>130</v>
      </c>
      <c r="G37" s="4" t="s">
        <v>130</v>
      </c>
      <c r="H37" s="5">
        <v>0.5</v>
      </c>
      <c r="I37" s="6" t="s">
        <v>17</v>
      </c>
      <c r="J37" s="11" t="s">
        <v>79</v>
      </c>
      <c r="K37" s="3"/>
    </row>
    <row r="38" spans="1:11" ht="18.75" customHeight="1">
      <c r="A38" s="1" t="s">
        <v>137</v>
      </c>
      <c r="B38" s="13" t="s">
        <v>114</v>
      </c>
      <c r="C38" s="3" t="s">
        <v>138</v>
      </c>
      <c r="D38" s="3" t="s">
        <v>139</v>
      </c>
      <c r="E38" s="1" t="s">
        <v>15</v>
      </c>
      <c r="F38" s="4" t="s">
        <v>130</v>
      </c>
      <c r="G38" s="4" t="s">
        <v>130</v>
      </c>
      <c r="H38" s="5">
        <v>1</v>
      </c>
      <c r="I38" s="6" t="s">
        <v>17</v>
      </c>
      <c r="J38" s="8" t="s">
        <v>25</v>
      </c>
      <c r="K38" s="3"/>
    </row>
    <row r="39" spans="1:11" ht="18.75" customHeight="1">
      <c r="A39" s="1" t="s">
        <v>140</v>
      </c>
      <c r="B39" s="14" t="s">
        <v>141</v>
      </c>
      <c r="C39" s="3" t="s">
        <v>142</v>
      </c>
      <c r="D39" s="3" t="s">
        <v>143</v>
      </c>
      <c r="E39" s="1" t="s">
        <v>15</v>
      </c>
      <c r="F39" s="4" t="s">
        <v>130</v>
      </c>
      <c r="G39" s="4" t="s">
        <v>130</v>
      </c>
      <c r="H39" s="5">
        <v>1</v>
      </c>
      <c r="I39" s="6" t="s">
        <v>17</v>
      </c>
      <c r="J39" s="7" t="s">
        <v>18</v>
      </c>
      <c r="K39" s="3"/>
    </row>
    <row r="40" spans="1:11" ht="18.75" customHeight="1">
      <c r="A40" s="1" t="s">
        <v>144</v>
      </c>
      <c r="B40" s="14" t="s">
        <v>141</v>
      </c>
      <c r="C40" s="3" t="s">
        <v>145</v>
      </c>
      <c r="D40" s="3" t="s">
        <v>146</v>
      </c>
      <c r="E40" s="1" t="s">
        <v>15</v>
      </c>
      <c r="F40" s="4" t="s">
        <v>130</v>
      </c>
      <c r="G40" s="4" t="s">
        <v>130</v>
      </c>
      <c r="H40" s="5">
        <v>0.5</v>
      </c>
      <c r="I40" s="6" t="s">
        <v>17</v>
      </c>
      <c r="J40" s="7" t="s">
        <v>18</v>
      </c>
      <c r="K40" s="3"/>
    </row>
    <row r="41" spans="1:11" ht="18.75" customHeight="1">
      <c r="A41" s="1" t="s">
        <v>147</v>
      </c>
      <c r="B41" s="14" t="s">
        <v>141</v>
      </c>
      <c r="C41" s="3" t="s">
        <v>148</v>
      </c>
      <c r="D41" s="3" t="s">
        <v>149</v>
      </c>
      <c r="E41" s="1" t="s">
        <v>15</v>
      </c>
      <c r="F41" s="4" t="s">
        <v>130</v>
      </c>
      <c r="G41" s="4" t="s">
        <v>150</v>
      </c>
      <c r="H41" s="5">
        <v>1.5</v>
      </c>
      <c r="I41" s="6" t="s">
        <v>17</v>
      </c>
      <c r="J41" s="7" t="s">
        <v>18</v>
      </c>
      <c r="K41" s="3"/>
    </row>
    <row r="42" spans="1:11" ht="18.75" customHeight="1">
      <c r="A42" s="1" t="s">
        <v>151</v>
      </c>
      <c r="B42" s="14" t="s">
        <v>141</v>
      </c>
      <c r="C42" s="3" t="s">
        <v>152</v>
      </c>
      <c r="D42" s="3" t="s">
        <v>153</v>
      </c>
      <c r="E42" s="1" t="s">
        <v>15</v>
      </c>
      <c r="F42" s="4" t="s">
        <v>150</v>
      </c>
      <c r="G42" s="4" t="s">
        <v>150</v>
      </c>
      <c r="H42" s="5">
        <v>1</v>
      </c>
      <c r="I42" s="6" t="s">
        <v>17</v>
      </c>
      <c r="J42" s="7" t="s">
        <v>18</v>
      </c>
      <c r="K42" s="3"/>
    </row>
    <row r="43" spans="1:11" ht="18.75" customHeight="1">
      <c r="A43" s="1" t="s">
        <v>154</v>
      </c>
      <c r="B43" s="14" t="s">
        <v>141</v>
      </c>
      <c r="C43" s="3" t="s">
        <v>155</v>
      </c>
      <c r="D43" s="3" t="s">
        <v>156</v>
      </c>
      <c r="E43" s="1" t="s">
        <v>15</v>
      </c>
      <c r="F43" s="4" t="s">
        <v>150</v>
      </c>
      <c r="G43" s="4" t="s">
        <v>150</v>
      </c>
      <c r="H43" s="5">
        <v>0.5</v>
      </c>
      <c r="I43" s="37" t="s">
        <v>216</v>
      </c>
      <c r="J43" s="8" t="s">
        <v>25</v>
      </c>
      <c r="K43" s="3"/>
    </row>
    <row r="44" spans="1:11" ht="18.75" customHeight="1">
      <c r="A44" s="1" t="s">
        <v>157</v>
      </c>
      <c r="B44" s="14" t="s">
        <v>141</v>
      </c>
      <c r="C44" s="3" t="s">
        <v>158</v>
      </c>
      <c r="D44" s="3" t="s">
        <v>159</v>
      </c>
      <c r="E44" s="1" t="s">
        <v>15</v>
      </c>
      <c r="F44" s="4" t="s">
        <v>150</v>
      </c>
      <c r="G44" s="4" t="s">
        <v>150</v>
      </c>
      <c r="H44" s="5">
        <v>0.5</v>
      </c>
      <c r="I44" s="37" t="s">
        <v>216</v>
      </c>
      <c r="J44" s="7" t="s">
        <v>18</v>
      </c>
      <c r="K44" s="3"/>
    </row>
    <row r="45" spans="1:11" ht="18.75" customHeight="1">
      <c r="A45" s="1" t="s">
        <v>160</v>
      </c>
      <c r="B45" s="15" t="s">
        <v>161</v>
      </c>
      <c r="C45" s="3" t="s">
        <v>162</v>
      </c>
      <c r="D45" s="3" t="s">
        <v>163</v>
      </c>
      <c r="E45" s="1" t="s">
        <v>15</v>
      </c>
      <c r="F45" s="4" t="s">
        <v>150</v>
      </c>
      <c r="G45" s="4" t="s">
        <v>150</v>
      </c>
      <c r="H45" s="5">
        <v>1</v>
      </c>
      <c r="I45" s="6" t="s">
        <v>17</v>
      </c>
      <c r="J45" s="7" t="s">
        <v>18</v>
      </c>
      <c r="K45" s="3"/>
    </row>
    <row r="46" spans="1:11" ht="18.75" customHeight="1">
      <c r="A46" s="1" t="s">
        <v>164</v>
      </c>
      <c r="B46" s="15" t="s">
        <v>161</v>
      </c>
      <c r="C46" s="3" t="s">
        <v>165</v>
      </c>
      <c r="D46" s="3" t="s">
        <v>166</v>
      </c>
      <c r="E46" s="1" t="s">
        <v>15</v>
      </c>
      <c r="F46" s="4" t="s">
        <v>150</v>
      </c>
      <c r="G46" s="4" t="s">
        <v>150</v>
      </c>
      <c r="H46" s="5">
        <v>1</v>
      </c>
      <c r="I46" s="6" t="s">
        <v>17</v>
      </c>
      <c r="J46" s="7" t="s">
        <v>18</v>
      </c>
      <c r="K46" s="3"/>
    </row>
    <row r="47" spans="1:11" ht="18.75" customHeight="1">
      <c r="A47" s="1" t="s">
        <v>167</v>
      </c>
      <c r="B47" s="15" t="s">
        <v>161</v>
      </c>
      <c r="C47" s="3" t="s">
        <v>168</v>
      </c>
      <c r="D47" s="3" t="s">
        <v>169</v>
      </c>
      <c r="E47" s="1" t="s">
        <v>15</v>
      </c>
      <c r="F47" s="4" t="s">
        <v>150</v>
      </c>
      <c r="G47" s="4" t="s">
        <v>150</v>
      </c>
      <c r="H47" s="5">
        <v>0.5</v>
      </c>
      <c r="I47" s="6" t="s">
        <v>17</v>
      </c>
      <c r="J47" s="8" t="s">
        <v>25</v>
      </c>
      <c r="K47" s="3"/>
    </row>
    <row r="48" spans="1:11" ht="18.75" customHeight="1">
      <c r="A48" s="1" t="s">
        <v>170</v>
      </c>
      <c r="B48" s="15" t="s">
        <v>161</v>
      </c>
      <c r="C48" s="3" t="s">
        <v>171</v>
      </c>
      <c r="D48" s="3" t="s">
        <v>172</v>
      </c>
      <c r="E48" s="1" t="s">
        <v>15</v>
      </c>
      <c r="F48" s="4" t="s">
        <v>150</v>
      </c>
      <c r="G48" s="4" t="s">
        <v>150</v>
      </c>
      <c r="H48" s="5">
        <v>0.5</v>
      </c>
      <c r="I48" s="6" t="s">
        <v>17</v>
      </c>
      <c r="J48" s="7" t="s">
        <v>18</v>
      </c>
      <c r="K48" s="3"/>
    </row>
    <row r="49" spans="1:11" ht="18.75" customHeight="1">
      <c r="A49" s="1" t="s">
        <v>173</v>
      </c>
      <c r="B49" s="15" t="s">
        <v>161</v>
      </c>
      <c r="C49" s="3" t="s">
        <v>174</v>
      </c>
      <c r="D49" s="3" t="s">
        <v>175</v>
      </c>
      <c r="E49" s="1" t="s">
        <v>15</v>
      </c>
      <c r="F49" s="4" t="s">
        <v>150</v>
      </c>
      <c r="G49" s="4" t="s">
        <v>150</v>
      </c>
      <c r="H49" s="5">
        <v>0.5</v>
      </c>
      <c r="I49" s="6" t="s">
        <v>17</v>
      </c>
      <c r="J49" s="8" t="s">
        <v>25</v>
      </c>
      <c r="K49" s="3"/>
    </row>
    <row r="50" spans="1:11" ht="18.75" customHeight="1">
      <c r="A50" s="1" t="s">
        <v>176</v>
      </c>
      <c r="B50" s="15" t="s">
        <v>161</v>
      </c>
      <c r="C50" s="3" t="s">
        <v>177</v>
      </c>
      <c r="D50" s="3" t="s">
        <v>178</v>
      </c>
      <c r="E50" s="1" t="s">
        <v>15</v>
      </c>
      <c r="F50" s="4" t="s">
        <v>150</v>
      </c>
      <c r="G50" s="4" t="s">
        <v>150</v>
      </c>
      <c r="H50" s="5">
        <v>0.5</v>
      </c>
      <c r="I50" s="6" t="s">
        <v>17</v>
      </c>
      <c r="J50" s="7" t="s">
        <v>18</v>
      </c>
      <c r="K50" s="3"/>
    </row>
    <row r="51" spans="1:11" ht="18.75" customHeight="1">
      <c r="A51" s="1" t="s">
        <v>179</v>
      </c>
      <c r="B51" s="16" t="s">
        <v>180</v>
      </c>
      <c r="C51" s="3" t="s">
        <v>181</v>
      </c>
      <c r="D51" s="3" t="s">
        <v>182</v>
      </c>
      <c r="E51" s="1" t="s">
        <v>15</v>
      </c>
      <c r="F51" s="4" t="s">
        <v>183</v>
      </c>
      <c r="G51" s="4" t="s">
        <v>183</v>
      </c>
      <c r="H51" s="5">
        <v>0.5</v>
      </c>
      <c r="I51" s="6" t="s">
        <v>17</v>
      </c>
      <c r="J51" s="7" t="s">
        <v>18</v>
      </c>
      <c r="K51" s="3"/>
    </row>
    <row r="52" spans="1:11" ht="18.75" customHeight="1">
      <c r="A52" s="1" t="s">
        <v>184</v>
      </c>
      <c r="B52" s="16" t="s">
        <v>180</v>
      </c>
      <c r="C52" s="3" t="s">
        <v>185</v>
      </c>
      <c r="D52" s="3" t="s">
        <v>186</v>
      </c>
      <c r="E52" s="1" t="s">
        <v>15</v>
      </c>
      <c r="F52" s="4" t="s">
        <v>183</v>
      </c>
      <c r="G52" s="4" t="s">
        <v>183</v>
      </c>
      <c r="H52" s="5">
        <v>0.5</v>
      </c>
      <c r="I52" s="6" t="s">
        <v>17</v>
      </c>
      <c r="J52" s="7" t="s">
        <v>18</v>
      </c>
      <c r="K52" s="3"/>
    </row>
    <row r="53" spans="1:11" ht="18.75" customHeight="1">
      <c r="A53" s="1" t="s">
        <v>187</v>
      </c>
      <c r="B53" s="16" t="s">
        <v>180</v>
      </c>
      <c r="C53" s="3" t="s">
        <v>188</v>
      </c>
      <c r="D53" s="3" t="s">
        <v>189</v>
      </c>
      <c r="E53" s="1" t="s">
        <v>15</v>
      </c>
      <c r="F53" s="4" t="s">
        <v>183</v>
      </c>
      <c r="G53" s="4" t="s">
        <v>183</v>
      </c>
      <c r="H53" s="5">
        <v>1</v>
      </c>
      <c r="I53" s="6" t="s">
        <v>17</v>
      </c>
      <c r="J53" s="7" t="s">
        <v>18</v>
      </c>
      <c r="K53" s="3"/>
    </row>
    <row r="54" spans="1:11" ht="18.75" customHeight="1">
      <c r="A54" s="1" t="s">
        <v>190</v>
      </c>
      <c r="B54" s="16" t="s">
        <v>180</v>
      </c>
      <c r="C54" s="3" t="s">
        <v>191</v>
      </c>
      <c r="D54" s="3" t="s">
        <v>192</v>
      </c>
      <c r="E54" s="1" t="s">
        <v>15</v>
      </c>
      <c r="F54" s="4" t="s">
        <v>183</v>
      </c>
      <c r="G54" s="4" t="s">
        <v>183</v>
      </c>
      <c r="H54" s="5">
        <v>0.5</v>
      </c>
      <c r="I54" s="6" t="s">
        <v>17</v>
      </c>
      <c r="J54" s="7" t="s">
        <v>18</v>
      </c>
      <c r="K54" s="3"/>
    </row>
    <row r="55" spans="1:11" ht="18.75" customHeight="1">
      <c r="A55" s="1"/>
      <c r="B55" s="3"/>
      <c r="C55" s="3"/>
      <c r="D55" s="3"/>
      <c r="E55" s="1"/>
      <c r="F55" s="1"/>
      <c r="G55" s="1"/>
      <c r="H55" s="1"/>
      <c r="I55" s="1"/>
      <c r="J55" s="1"/>
      <c r="K55" s="3"/>
    </row>
  </sheetData>
  <mergeCells count="1">
    <mergeCell ref="A1:K1"/>
  </mergeCells>
  <phoneticPr fontId="11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2648-D858-6578-2253-E2316D9A964E}">
  <dimension ref="A1:L54"/>
  <sheetViews>
    <sheetView workbookViewId="0">
      <pane ySplit="1" topLeftCell="A2" activePane="bottomLeft" state="frozen"/>
      <selection pane="bottomLeft" activeCell="E16" sqref="E16"/>
    </sheetView>
  </sheetViews>
  <sheetFormatPr defaultColWidth="8.796875" defaultRowHeight="15" customHeight="1"/>
  <cols>
    <col min="1" max="1" width="17.09765625" customWidth="1"/>
    <col min="2" max="2" width="28.59765625" customWidth="1"/>
    <col min="3" max="12" width="11.3984375" customWidth="1"/>
  </cols>
  <sheetData>
    <row r="1" spans="1:12" ht="22.5" customHeight="1">
      <c r="A1" s="39" t="s">
        <v>1</v>
      </c>
      <c r="B1" s="39" t="s">
        <v>193</v>
      </c>
      <c r="C1" s="39" t="s">
        <v>194</v>
      </c>
      <c r="D1" s="39" t="s">
        <v>195</v>
      </c>
      <c r="E1" s="39" t="s">
        <v>196</v>
      </c>
      <c r="F1" s="39" t="s">
        <v>197</v>
      </c>
      <c r="G1" s="39" t="s">
        <v>198</v>
      </c>
      <c r="H1" s="39" t="s">
        <v>199</v>
      </c>
      <c r="I1" s="39" t="s">
        <v>200</v>
      </c>
      <c r="J1" s="39" t="s">
        <v>201</v>
      </c>
      <c r="K1" s="39" t="s">
        <v>202</v>
      </c>
      <c r="L1" s="39" t="s">
        <v>203</v>
      </c>
    </row>
    <row r="2" spans="1:12" ht="18.75" customHeight="1">
      <c r="A2" s="17" t="s">
        <v>12</v>
      </c>
      <c r="B2" s="18" t="s">
        <v>13</v>
      </c>
    </row>
    <row r="3" spans="1:12" ht="18.75" customHeight="1">
      <c r="A3" s="17" t="s">
        <v>12</v>
      </c>
      <c r="B3" s="18" t="s">
        <v>20</v>
      </c>
    </row>
    <row r="4" spans="1:12" ht="18.75" customHeight="1">
      <c r="A4" s="17" t="s">
        <v>12</v>
      </c>
      <c r="B4" s="18" t="s">
        <v>23</v>
      </c>
    </row>
    <row r="5" spans="1:12" ht="18.75" customHeight="1">
      <c r="A5" s="17" t="s">
        <v>12</v>
      </c>
      <c r="B5" s="18" t="s">
        <v>27</v>
      </c>
    </row>
    <row r="6" spans="1:12" ht="18.75" customHeight="1">
      <c r="A6" s="17" t="s">
        <v>12</v>
      </c>
      <c r="B6" s="18" t="s">
        <v>31</v>
      </c>
    </row>
    <row r="7" spans="1:12" ht="18.75" customHeight="1">
      <c r="A7" s="17" t="s">
        <v>12</v>
      </c>
      <c r="B7" s="18" t="s">
        <v>34</v>
      </c>
    </row>
    <row r="8" spans="1:12" ht="18.75" customHeight="1">
      <c r="A8" s="19" t="s">
        <v>37</v>
      </c>
      <c r="B8" s="18" t="s">
        <v>38</v>
      </c>
    </row>
    <row r="9" spans="1:12" ht="18.75" customHeight="1">
      <c r="A9" s="19" t="s">
        <v>37</v>
      </c>
      <c r="B9" s="18" t="s">
        <v>41</v>
      </c>
    </row>
    <row r="10" spans="1:12" ht="18.75" customHeight="1">
      <c r="A10" s="19" t="s">
        <v>37</v>
      </c>
      <c r="B10" s="18" t="s">
        <v>44</v>
      </c>
    </row>
    <row r="11" spans="1:12" ht="18.75" customHeight="1">
      <c r="A11" s="19" t="s">
        <v>37</v>
      </c>
      <c r="B11" s="18" t="s">
        <v>47</v>
      </c>
    </row>
    <row r="12" spans="1:12" ht="18.75" customHeight="1">
      <c r="A12" s="20" t="s">
        <v>50</v>
      </c>
      <c r="B12" s="18" t="s">
        <v>51</v>
      </c>
    </row>
    <row r="13" spans="1:12" ht="18.75" customHeight="1">
      <c r="A13" s="20" t="s">
        <v>50</v>
      </c>
      <c r="B13" s="18" t="s">
        <v>55</v>
      </c>
    </row>
    <row r="14" spans="1:12" ht="18.75" customHeight="1">
      <c r="A14" s="20" t="s">
        <v>50</v>
      </c>
      <c r="B14" s="18" t="s">
        <v>58</v>
      </c>
    </row>
    <row r="15" spans="1:12" ht="18.75" customHeight="1">
      <c r="A15" s="20" t="s">
        <v>50</v>
      </c>
      <c r="B15" s="18" t="s">
        <v>61</v>
      </c>
    </row>
    <row r="16" spans="1:12" ht="18.75" customHeight="1">
      <c r="A16" s="20" t="s">
        <v>50</v>
      </c>
      <c r="B16" s="18" t="s">
        <v>64</v>
      </c>
    </row>
    <row r="17" spans="1:2" ht="18.75" customHeight="1">
      <c r="A17" s="20" t="s">
        <v>50</v>
      </c>
      <c r="B17" s="18" t="s">
        <v>67</v>
      </c>
    </row>
    <row r="18" spans="1:2" ht="18.75" customHeight="1">
      <c r="A18" s="20" t="s">
        <v>50</v>
      </c>
      <c r="B18" s="18" t="s">
        <v>71</v>
      </c>
    </row>
    <row r="19" spans="1:2" ht="18.75" customHeight="1">
      <c r="A19" s="20" t="s">
        <v>50</v>
      </c>
      <c r="B19" s="18" t="s">
        <v>74</v>
      </c>
    </row>
    <row r="20" spans="1:2" ht="18.75" customHeight="1">
      <c r="A20" s="20" t="s">
        <v>50</v>
      </c>
      <c r="B20" s="18" t="s">
        <v>77</v>
      </c>
    </row>
    <row r="21" spans="1:2" ht="18.75" customHeight="1">
      <c r="A21" s="21" t="s">
        <v>81</v>
      </c>
      <c r="B21" s="18" t="s">
        <v>82</v>
      </c>
    </row>
    <row r="22" spans="1:2" ht="18.75" customHeight="1">
      <c r="A22" s="21" t="s">
        <v>81</v>
      </c>
      <c r="B22" s="18" t="s">
        <v>85</v>
      </c>
    </row>
    <row r="23" spans="1:2" ht="18.75" customHeight="1">
      <c r="A23" s="21" t="s">
        <v>81</v>
      </c>
      <c r="B23" s="18" t="s">
        <v>89</v>
      </c>
    </row>
    <row r="24" spans="1:2" ht="18.75" customHeight="1">
      <c r="A24" s="21" t="s">
        <v>81</v>
      </c>
      <c r="B24" s="18" t="s">
        <v>92</v>
      </c>
    </row>
    <row r="25" spans="1:2" ht="18.75" customHeight="1">
      <c r="A25" s="21" t="s">
        <v>81</v>
      </c>
      <c r="B25" s="18" t="s">
        <v>95</v>
      </c>
    </row>
    <row r="26" spans="1:2" ht="18.75" customHeight="1">
      <c r="A26" s="21" t="s">
        <v>81</v>
      </c>
      <c r="B26" s="18" t="s">
        <v>98</v>
      </c>
    </row>
    <row r="27" spans="1:2" ht="18.75" customHeight="1">
      <c r="A27" s="21" t="s">
        <v>81</v>
      </c>
      <c r="B27" s="18" t="s">
        <v>102</v>
      </c>
    </row>
    <row r="28" spans="1:2" ht="18.75" customHeight="1">
      <c r="A28" s="21" t="s">
        <v>81</v>
      </c>
      <c r="B28" s="18" t="s">
        <v>105</v>
      </c>
    </row>
    <row r="29" spans="1:2" ht="18.75" customHeight="1">
      <c r="A29" s="21" t="s">
        <v>81</v>
      </c>
      <c r="B29" s="18" t="s">
        <v>108</v>
      </c>
    </row>
    <row r="30" spans="1:2" ht="18.75" customHeight="1">
      <c r="A30" s="21" t="s">
        <v>81</v>
      </c>
      <c r="B30" s="18" t="s">
        <v>111</v>
      </c>
    </row>
    <row r="31" spans="1:2" ht="18.75" customHeight="1">
      <c r="A31" s="22" t="s">
        <v>114</v>
      </c>
      <c r="B31" s="18" t="s">
        <v>115</v>
      </c>
    </row>
    <row r="32" spans="1:2" ht="18.75" customHeight="1">
      <c r="A32" s="22" t="s">
        <v>114</v>
      </c>
      <c r="B32" s="18" t="s">
        <v>119</v>
      </c>
    </row>
    <row r="33" spans="1:2" ht="18.75" customHeight="1">
      <c r="A33" s="22" t="s">
        <v>114</v>
      </c>
      <c r="B33" s="18" t="s">
        <v>122</v>
      </c>
    </row>
    <row r="34" spans="1:2" ht="18.75" customHeight="1">
      <c r="A34" s="22" t="s">
        <v>114</v>
      </c>
      <c r="B34" s="18" t="s">
        <v>125</v>
      </c>
    </row>
    <row r="35" spans="1:2" ht="18.75" customHeight="1">
      <c r="A35" s="22" t="s">
        <v>114</v>
      </c>
      <c r="B35" s="18" t="s">
        <v>128</v>
      </c>
    </row>
    <row r="36" spans="1:2" ht="18.75" customHeight="1">
      <c r="A36" s="22" t="s">
        <v>114</v>
      </c>
      <c r="B36" s="18" t="s">
        <v>132</v>
      </c>
    </row>
    <row r="37" spans="1:2" ht="18.75" customHeight="1">
      <c r="A37" s="22" t="s">
        <v>114</v>
      </c>
      <c r="B37" s="18" t="s">
        <v>135</v>
      </c>
    </row>
    <row r="38" spans="1:2" ht="18.75" customHeight="1">
      <c r="A38" s="22" t="s">
        <v>114</v>
      </c>
      <c r="B38" s="18" t="s">
        <v>138</v>
      </c>
    </row>
    <row r="39" spans="1:2" ht="18.75" customHeight="1">
      <c r="A39" s="23" t="s">
        <v>141</v>
      </c>
      <c r="B39" s="18" t="s">
        <v>142</v>
      </c>
    </row>
    <row r="40" spans="1:2" ht="18.75" customHeight="1">
      <c r="A40" s="23" t="s">
        <v>141</v>
      </c>
      <c r="B40" s="18" t="s">
        <v>145</v>
      </c>
    </row>
    <row r="41" spans="1:2" ht="18.75" customHeight="1">
      <c r="A41" s="23" t="s">
        <v>141</v>
      </c>
      <c r="B41" s="18" t="s">
        <v>148</v>
      </c>
    </row>
    <row r="42" spans="1:2" ht="18.75" customHeight="1">
      <c r="A42" s="23" t="s">
        <v>141</v>
      </c>
      <c r="B42" s="18" t="s">
        <v>152</v>
      </c>
    </row>
    <row r="43" spans="1:2" ht="18.75" customHeight="1">
      <c r="A43" s="23" t="s">
        <v>141</v>
      </c>
      <c r="B43" s="18" t="s">
        <v>155</v>
      </c>
    </row>
    <row r="44" spans="1:2" ht="18.75" customHeight="1">
      <c r="A44" s="23" t="s">
        <v>141</v>
      </c>
      <c r="B44" s="18" t="s">
        <v>158</v>
      </c>
    </row>
    <row r="45" spans="1:2" ht="18.75" customHeight="1">
      <c r="A45" s="24" t="s">
        <v>161</v>
      </c>
      <c r="B45" s="18" t="s">
        <v>162</v>
      </c>
    </row>
    <row r="46" spans="1:2" ht="18.75" customHeight="1">
      <c r="A46" s="24" t="s">
        <v>161</v>
      </c>
      <c r="B46" s="18" t="s">
        <v>165</v>
      </c>
    </row>
    <row r="47" spans="1:2" ht="18.75" customHeight="1">
      <c r="A47" s="24" t="s">
        <v>161</v>
      </c>
      <c r="B47" s="18" t="s">
        <v>168</v>
      </c>
    </row>
    <row r="48" spans="1:2" ht="18.75" customHeight="1">
      <c r="A48" s="24" t="s">
        <v>161</v>
      </c>
      <c r="B48" s="18" t="s">
        <v>171</v>
      </c>
    </row>
    <row r="49" spans="1:2" ht="18.75" customHeight="1">
      <c r="A49" s="24" t="s">
        <v>161</v>
      </c>
      <c r="B49" s="18" t="s">
        <v>174</v>
      </c>
    </row>
    <row r="50" spans="1:2" ht="18.75" customHeight="1">
      <c r="A50" s="24" t="s">
        <v>161</v>
      </c>
      <c r="B50" s="18" t="s">
        <v>177</v>
      </c>
    </row>
    <row r="51" spans="1:2" ht="18.75" customHeight="1">
      <c r="A51" s="25" t="s">
        <v>180</v>
      </c>
      <c r="B51" s="18" t="s">
        <v>181</v>
      </c>
    </row>
    <row r="52" spans="1:2" ht="18.75" customHeight="1">
      <c r="A52" s="25" t="s">
        <v>180</v>
      </c>
      <c r="B52" s="18" t="s">
        <v>185</v>
      </c>
    </row>
    <row r="53" spans="1:2" ht="18.75" customHeight="1">
      <c r="A53" s="25" t="s">
        <v>180</v>
      </c>
      <c r="B53" s="18" t="s">
        <v>188</v>
      </c>
    </row>
    <row r="54" spans="1:2" ht="18.75" customHeight="1">
      <c r="A54" s="25" t="s">
        <v>180</v>
      </c>
      <c r="B54" s="18" t="s">
        <v>191</v>
      </c>
    </row>
  </sheetData>
  <mergeCells count="1">
    <mergeCell ref="A1:L1"/>
  </mergeCells>
  <phoneticPr fontId="11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FB35-34CA-2B38-595D-E3C8A263491C}">
  <dimension ref="A1:F25"/>
  <sheetViews>
    <sheetView topLeftCell="A6" workbookViewId="0">
      <selection activeCell="K14" sqref="K14"/>
    </sheetView>
  </sheetViews>
  <sheetFormatPr defaultColWidth="8.796875" defaultRowHeight="15" customHeight="1"/>
  <cols>
    <col min="1" max="1" width="21.3984375" customWidth="1"/>
    <col min="2" max="2" width="17.09765625" customWidth="1"/>
    <col min="3" max="3" width="14.296875" customWidth="1"/>
    <col min="5" max="5" width="21.3984375" customWidth="1"/>
    <col min="6" max="6" width="17.09765625" customWidth="1"/>
  </cols>
  <sheetData>
    <row r="1" spans="1:6" ht="15" customHeight="1">
      <c r="A1" s="39" t="s">
        <v>204</v>
      </c>
      <c r="B1" s="40"/>
      <c r="C1" s="40"/>
      <c r="E1" s="39" t="s">
        <v>205</v>
      </c>
      <c r="F1" s="40"/>
    </row>
    <row r="2" spans="1:6" ht="18.75" customHeight="1">
      <c r="A2" s="26" t="s">
        <v>1</v>
      </c>
      <c r="B2" s="26" t="s">
        <v>206</v>
      </c>
      <c r="C2" s="26" t="s">
        <v>207</v>
      </c>
      <c r="E2" s="27" t="s">
        <v>208</v>
      </c>
      <c r="F2" s="28" t="str">
        <f>B11&amp;" 時間"</f>
        <v>48 時間</v>
      </c>
    </row>
    <row r="3" spans="1:6" ht="15" customHeight="1">
      <c r="A3" s="29" t="s">
        <v>12</v>
      </c>
      <c r="B3" s="30">
        <v>6.5</v>
      </c>
      <c r="C3" s="31">
        <f t="shared" ref="C3:C10" si="0">B3/$B$11</f>
        <v>0.13541666666666666</v>
      </c>
      <c r="E3" s="27" t="s">
        <v>209</v>
      </c>
      <c r="F3" s="27">
        <f>B25/10</f>
        <v>4.8</v>
      </c>
    </row>
    <row r="4" spans="1:6" ht="15" customHeight="1">
      <c r="A4" s="29" t="s">
        <v>37</v>
      </c>
      <c r="B4" s="30">
        <v>2.5</v>
      </c>
      <c r="C4" s="31">
        <f t="shared" si="0"/>
        <v>5.2083333333333336E-2</v>
      </c>
      <c r="E4" s="27" t="s">
        <v>210</v>
      </c>
      <c r="F4" s="27" t="s">
        <v>211</v>
      </c>
    </row>
    <row r="5" spans="1:6" ht="15" customHeight="1">
      <c r="A5" s="29" t="s">
        <v>50</v>
      </c>
      <c r="B5" s="30">
        <v>6</v>
      </c>
      <c r="C5" s="31">
        <f t="shared" si="0"/>
        <v>0.125</v>
      </c>
    </row>
    <row r="6" spans="1:6" ht="15" customHeight="1">
      <c r="A6" s="29" t="s">
        <v>81</v>
      </c>
      <c r="B6" s="30">
        <v>13</v>
      </c>
      <c r="C6" s="31">
        <f t="shared" si="0"/>
        <v>0.27083333333333331</v>
      </c>
    </row>
    <row r="7" spans="1:6" ht="15" customHeight="1">
      <c r="A7" s="29" t="s">
        <v>114</v>
      </c>
      <c r="B7" s="30">
        <v>8.5</v>
      </c>
      <c r="C7" s="31">
        <f t="shared" si="0"/>
        <v>0.17708333333333334</v>
      </c>
    </row>
    <row r="8" spans="1:6" ht="15" customHeight="1">
      <c r="A8" s="29" t="s">
        <v>141</v>
      </c>
      <c r="B8" s="30">
        <v>5</v>
      </c>
      <c r="C8" s="31">
        <f t="shared" si="0"/>
        <v>0.10416666666666667</v>
      </c>
    </row>
    <row r="9" spans="1:6" ht="15" customHeight="1">
      <c r="A9" s="29" t="s">
        <v>161</v>
      </c>
      <c r="B9" s="30">
        <v>4</v>
      </c>
      <c r="C9" s="31">
        <f t="shared" si="0"/>
        <v>8.3333333333333329E-2</v>
      </c>
    </row>
    <row r="10" spans="1:6" ht="15" customHeight="1">
      <c r="A10" s="29" t="s">
        <v>180</v>
      </c>
      <c r="B10" s="30">
        <v>2.5</v>
      </c>
      <c r="C10" s="31">
        <f t="shared" si="0"/>
        <v>5.2083333333333336E-2</v>
      </c>
    </row>
    <row r="11" spans="1:6" ht="15" customHeight="1">
      <c r="A11" s="32" t="s">
        <v>212</v>
      </c>
      <c r="B11" s="33">
        <f>SUM(B3:B10)</f>
        <v>48</v>
      </c>
      <c r="C11" s="33">
        <v>1</v>
      </c>
    </row>
    <row r="13" spans="1:6" ht="15" customHeight="1">
      <c r="A13" s="39" t="s">
        <v>213</v>
      </c>
      <c r="B13" s="40"/>
      <c r="C13" s="40"/>
    </row>
    <row r="14" spans="1:6" ht="14.25" customHeight="1">
      <c r="A14" s="26" t="s">
        <v>214</v>
      </c>
      <c r="B14" s="26" t="s">
        <v>206</v>
      </c>
      <c r="C14" s="26" t="s">
        <v>215</v>
      </c>
    </row>
    <row r="15" spans="1:6" ht="15" customHeight="1">
      <c r="A15" s="29" t="s">
        <v>194</v>
      </c>
      <c r="B15" s="30">
        <v>6.5</v>
      </c>
      <c r="C15" s="30">
        <f>B15</f>
        <v>6.5</v>
      </c>
    </row>
    <row r="16" spans="1:6" ht="15" customHeight="1">
      <c r="A16" s="29" t="s">
        <v>195</v>
      </c>
      <c r="B16" s="30">
        <v>6.5</v>
      </c>
      <c r="C16" s="30">
        <f t="shared" ref="C16:C24" si="1">C15+B16</f>
        <v>13</v>
      </c>
    </row>
    <row r="17" spans="1:3" ht="15" customHeight="1">
      <c r="A17" s="29" t="s">
        <v>196</v>
      </c>
      <c r="B17" s="30">
        <v>6.5</v>
      </c>
      <c r="C17" s="30">
        <f t="shared" si="1"/>
        <v>19.5</v>
      </c>
    </row>
    <row r="18" spans="1:3" ht="15" customHeight="1">
      <c r="A18" s="29" t="s">
        <v>197</v>
      </c>
      <c r="B18" s="30">
        <v>6.5</v>
      </c>
      <c r="C18" s="30">
        <f t="shared" si="1"/>
        <v>26</v>
      </c>
    </row>
    <row r="19" spans="1:3" ht="15" customHeight="1">
      <c r="A19" s="29" t="s">
        <v>198</v>
      </c>
      <c r="B19" s="30">
        <v>6.5</v>
      </c>
      <c r="C19" s="30">
        <f t="shared" si="1"/>
        <v>32.5</v>
      </c>
    </row>
    <row r="20" spans="1:3" ht="15" customHeight="1">
      <c r="A20" s="34" t="s">
        <v>199</v>
      </c>
      <c r="B20" s="35">
        <v>0</v>
      </c>
      <c r="C20" s="35">
        <f t="shared" si="1"/>
        <v>32.5</v>
      </c>
    </row>
    <row r="21" spans="1:3" ht="15" customHeight="1">
      <c r="A21" s="34" t="s">
        <v>200</v>
      </c>
      <c r="B21" s="35">
        <v>0</v>
      </c>
      <c r="C21" s="35">
        <f t="shared" si="1"/>
        <v>32.5</v>
      </c>
    </row>
    <row r="22" spans="1:3" ht="15" customHeight="1">
      <c r="A22" s="29" t="s">
        <v>201</v>
      </c>
      <c r="B22" s="30">
        <v>6.5</v>
      </c>
      <c r="C22" s="30">
        <f t="shared" si="1"/>
        <v>39</v>
      </c>
    </row>
    <row r="23" spans="1:3" ht="15" customHeight="1">
      <c r="A23" s="29" t="s">
        <v>202</v>
      </c>
      <c r="B23" s="30">
        <v>6.5</v>
      </c>
      <c r="C23" s="30">
        <f t="shared" si="1"/>
        <v>45.5</v>
      </c>
    </row>
    <row r="24" spans="1:3" ht="15" customHeight="1">
      <c r="A24" s="29" t="s">
        <v>203</v>
      </c>
      <c r="B24" s="30">
        <v>2.5</v>
      </c>
      <c r="C24" s="30">
        <f t="shared" si="1"/>
        <v>48</v>
      </c>
    </row>
    <row r="25" spans="1:3" ht="15" customHeight="1">
      <c r="A25" s="32" t="s">
        <v>212</v>
      </c>
      <c r="B25" s="33">
        <f>SUM(B15:B24)</f>
        <v>48</v>
      </c>
      <c r="C25" s="36"/>
    </row>
  </sheetData>
  <mergeCells count="3">
    <mergeCell ref="A1:C1"/>
    <mergeCell ref="A13:C13"/>
    <mergeCell ref="E1:F1"/>
  </mergeCells>
  <phoneticPr fontId="11"/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WBS一覧</vt:lpstr>
      <vt:lpstr>ガントチャート</vt:lpstr>
      <vt:lpstr>作業時間サマリー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松本　凜多朗</cp:lastModifiedBy>
  <dcterms:created xsi:type="dcterms:W3CDTF">2026-03-02T02:19:10Z</dcterms:created>
  <dcterms:modified xsi:type="dcterms:W3CDTF">2026-03-04T02:20:31Z</dcterms:modified>
</cp:coreProperties>
</file>